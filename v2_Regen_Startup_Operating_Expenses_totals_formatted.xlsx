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andrewsaurora-my.sharepoint.com/personal/jayden_leung_sac_on_ca/Documents/Desktop/12-02 School Folder/McEwen Business Leadership/"/>
    </mc:Choice>
  </mc:AlternateContent>
  <xr:revisionPtr revIDLastSave="1" documentId="11_26DF0595C129560B16E7133F1B5BCAF6F7CE5462" xr6:coauthVersionLast="47" xr6:coauthVersionMax="47" xr10:uidLastSave="{E21AA7E7-1A32-4CEB-B81A-5AF338F4D4DD}"/>
  <bookViews>
    <workbookView xWindow="-108" yWindow="-108" windowWidth="23256" windowHeight="13896" activeTab="1" xr2:uid="{00000000-000D-0000-FFFF-FFFF00000000}"/>
  </bookViews>
  <sheets>
    <sheet name="Startup Expenses" sheetId="1" r:id="rId1"/>
    <sheet name="Operating Expen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2" l="1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<sst xmlns="http://schemas.openxmlformats.org/spreadsheetml/2006/main" count="278" uniqueCount="230">
  <si>
    <t>Expense Category</t>
  </si>
  <si>
    <t>Item/Description</t>
  </si>
  <si>
    <t>Estimated Cost (CAD)</t>
  </si>
  <si>
    <t>Quantity</t>
  </si>
  <si>
    <t>Total Cost (CAD)</t>
  </si>
  <si>
    <t>Frequency/Timing</t>
  </si>
  <si>
    <t>Source/Justification</t>
  </si>
  <si>
    <t>Notes/Assumptions</t>
  </si>
  <si>
    <t>Research &amp; Product Development (R&amp;D)</t>
  </si>
  <si>
    <t>Hiring formulation consultant, lab testing, focus group tasting for powder, gummies and jellies</t>
  </si>
  <si>
    <t>One‑time startup</t>
  </si>
  <si>
    <t>Business report states that research and product development for three formats (powder, gummies and jellies) will cost about $25,000【1314†L1314-L1322】.</t>
  </si>
  <si>
    <t>One-time cost based on business plan estimate.</t>
  </si>
  <si>
    <t>Regulatory approvals &amp; testing</t>
  </si>
  <si>
    <t>Health Canada NHP licensing consulting, stability studies, third‑party lab tests, NSF for Sport certification</t>
  </si>
  <si>
    <t>The business report budgets roughly $10,000 for regulatory approvals and testing including Health Canada submissions and stability testing【1314†L1314-L1322】.</t>
  </si>
  <si>
    <t>Cost estimated for regulatory approvals and testing.</t>
  </si>
  <si>
    <t>Branding &amp; Intellectual Property</t>
  </si>
  <si>
    <t>Branding and design agency for logo/packaging templates, trademark filing, initial marketing collateral, website development</t>
  </si>
  <si>
    <t>The report estimates about $15,000 for branding, packaging design and trademark registration plus website development【1343†L1343-L1347】.</t>
  </si>
  <si>
    <t>Covers branding, design and IP; cost assumed once.</t>
  </si>
  <si>
    <t>Packaging &amp; Prototyping</t>
  </si>
  <si>
    <t>Custom sachets for powder, moulds for jellies and pouches/bottles for gummies, bilingual labelling and prototype runs</t>
  </si>
  <si>
    <t>The report budgets roughly $20,000 for packaging and prototyping, including custom sachets, labels and tooling for jellies【1349†L1349-L1358】.</t>
  </si>
  <si>
    <t>Prototype and custom packaging costs for initial launch.</t>
  </si>
  <si>
    <t>Initial production &amp; inventory – raw materials and co‑packing</t>
  </si>
  <si>
    <t>Purchase raw ingredients (electrolytes, collagen/BCAAs, flavors) and pay co‑packer to produce ~15,000 units across three formats</t>
  </si>
  <si>
    <t>Startup inventory</t>
  </si>
  <si>
    <t>The business report projects about $50,000 for the first production run (5,000 units each of powder, gummies and jellies), covering raw materials, co‑packer manufacturing fees and packaging【1351†L1351-L1369】.</t>
  </si>
  <si>
    <t>Quantity corresponds to 15,000 units across formats; cost per unit estimated.</t>
  </si>
  <si>
    <t>Marketing launch budget</t>
  </si>
  <si>
    <t>Initial advertising, event sponsorships, sample kits and influencer outreach for launch phase</t>
  </si>
  <si>
    <t>Startup (first year)</t>
  </si>
  <si>
    <t>The report allocates about $30,000 for initial marketing, including promotional materials, digital ads and event sponsorships【1380†L1380-L1388】.</t>
  </si>
  <si>
    <t>Budget for initial marketing push in first year.</t>
  </si>
  <si>
    <t>Website development &amp; e‑commerce setup</t>
  </si>
  <si>
    <t>Professional web development for e‑commerce site, QR‑code educational microsite and basic apps</t>
  </si>
  <si>
    <t>Specialist articles estimate building a supplement brand’s website costs between $2,000 and $10,000【953063979727037†L210-L237】. A mid‑range budget of $5,000 is used.</t>
  </si>
  <si>
    <t>One-time website development cost.</t>
  </si>
  <si>
    <t>Trademark registration</t>
  </si>
  <si>
    <t>Government filing fee for Canadian trademark application (one class)</t>
  </si>
  <si>
    <t>One‑time (renewal every 10 years)</t>
  </si>
  <si>
    <t>Canadian trademark registration costs $330 for one class with $100 for each additional class【546896182266265†L37-L41】.</t>
  </si>
  <si>
    <t>Trademark application fee for one class; renews every 10 years.</t>
  </si>
  <si>
    <t>Patent application &amp; search</t>
  </si>
  <si>
    <t>Patentability search (~$1,300) and drafting/filing a patent for unique formulation (~$10–15k)</t>
  </si>
  <si>
    <t>One‑time</t>
  </si>
  <si>
    <t>A Canadian patent application typically costs $10,000–15,000, with about half spent on drafting the application and $1,100–1,500 for a patentability search【945367268760784†L50-L62】【945367268760784†L115-L117】.</t>
  </si>
  <si>
    <t>Estimated patent application cost; includes search and filing.</t>
  </si>
  <si>
    <t>Health Canada NHP product licence (NPN)</t>
  </si>
  <si>
    <t>Application fee for Class 1/2 Natural Health Product licence per product</t>
  </si>
  <si>
    <t>One‑time per SKU (may be partially remitted)</t>
  </si>
  <si>
    <t>Health Canada’s proposed cost‑recovery fees include a product licence (NPN) assessment of about $7,200 for Class 1/2 products【815181578256650†L149-L154】.</t>
  </si>
  <si>
    <t>Licence fee per SKU; quantity reflects number of SKUs (3).</t>
  </si>
  <si>
    <t>Business registration and permits</t>
  </si>
  <si>
    <t>Registering the business in Ontario and obtaining necessary provincial licences</t>
  </si>
  <si>
    <t>In Ontario, basic business registration costs around $134【597729645790862†L171-L173】.</t>
  </si>
  <si>
    <t>Provincial business registration fee.</t>
  </si>
  <si>
    <t>Shelving &amp; storage equipment</t>
  </si>
  <si>
    <t>Purchase of 5 industrial shelving units for inventory storage (CAD $333 per unit)</t>
  </si>
  <si>
    <t>Industrial shelving units (78×30×78 in) cost $333 each【203442139599997†L117-L176】. Five units cost roughly $1,665.</t>
  </si>
  <si>
    <t>Number of shelving units purchased (5).</t>
  </si>
  <si>
    <t>Office equipment &amp; furniture</t>
  </si>
  <si>
    <t>Desks, chairs, computers and basic office setup for small team</t>
  </si>
  <si>
    <t>A Canadian startup guide estimates equipment and furniture costs between $1,500 and $2,500【597729645790862†L161-L162】. A mid‑point of $2,000 is used.</t>
  </si>
  <si>
    <t>Basic furniture and equipment for small team.</t>
  </si>
  <si>
    <t>Office rent deposit &amp; fit‑out</t>
  </si>
  <si>
    <t>First and last month’s rent plus minor setup for a 500‑sq‑ft office/warehouse</t>
  </si>
  <si>
    <t>One‑time deposit</t>
  </si>
  <si>
    <t>Average office lease rates in Toronto were $20.84 per sq ft in Q2 2025【515431729446317†L88-L96】. For a 500‑sq‑ft space, monthly rent is about $868; paying first and last months requires ≈$1,740.</t>
  </si>
  <si>
    <t>Deposit equals two months’ rent (~$870 per month).</t>
  </si>
  <si>
    <t>Total</t>
  </si>
  <si>
    <t>Co‑packer manufacturing &amp; packaging (break‑down of initial production)</t>
  </si>
  <si>
    <t>Co‑packer charges approx. $2 per unit for small runs (manufacturing, blending and packaging). For 15,000 units (5k powder, 5k gummies, 5k jellies) the cost is about $30,000</t>
  </si>
  <si>
    <t>Included in initial production</t>
  </si>
  <si>
    <t>Industry sources note that first production runs of supplements cost $5,000–10,000 per product and packaging costs range $1–5 per unit【953063979727037†L210-L237】. Assuming $2 per unit for 15,000 units yields roughly $30,000.</t>
  </si>
  <si>
    <t>Small-run co-packer cost; quantity = 15,000 units.</t>
  </si>
  <si>
    <t>Health Canada site licence (manufacturer/packer)</t>
  </si>
  <si>
    <t>Annual fee to hold a manufacturer/packer/tester site licence</t>
  </si>
  <si>
    <t>Annual</t>
  </si>
  <si>
    <t>The proposed cost‑recovery model charges approximately $23,000 per year for a manufacturer/packer/tester site licence【815181578256650†L161-L166】.</t>
  </si>
  <si>
    <t>Annual site licence fee.</t>
  </si>
  <si>
    <t>Health Canada right‑to‑sell fee</t>
  </si>
  <si>
    <t>Annual right‑to‑sell fee per SKU (3 SKUs × $542)</t>
  </si>
  <si>
    <t>Health Canada proposes an annual right‑to‑sell fee of about $542 per SKU【815181578256650†L175-L178】; three formats require ~3 × $542 = $1,626.</t>
  </si>
  <si>
    <t>Annual fee per SKU; quantity reflects number of SKUs.</t>
  </si>
  <si>
    <t>Office/warehouse rent</t>
  </si>
  <si>
    <t>Ongoing lease for 500‑sq‑ft office and storage space</t>
  </si>
  <si>
    <t>Annual (~$868 per month)</t>
  </si>
  <si>
    <t>The average office lease rate in Q2 2025 was $20.84 per sq ft【515431729446317†L88-L96】; a 500‑sq‑ft space costs ≈$10,420 per year.</t>
  </si>
  <si>
    <t>Rent per month; quantity = 12 months.</t>
  </si>
  <si>
    <t>Utilities &amp; internet</t>
  </si>
  <si>
    <t>Electricity, water, heating and business internet plan</t>
  </si>
  <si>
    <t>Annual (~$200 per month)</t>
  </si>
  <si>
    <t>A business internet guide notes that basic plans start around $50 per month【21025801519659†L145-L153】. Including electricity and water, we budget $200/month.</t>
  </si>
  <si>
    <t>Utility + internet cost per month; quantity = 12.</t>
  </si>
  <si>
    <t>Product liability insurance</t>
  </si>
  <si>
    <t>Monthly premium to cover claims arising from product defects or injuries</t>
  </si>
  <si>
    <t>Annual (~$99 per month)</t>
  </si>
  <si>
    <t>Shopify’s guide reports that product liability insurance costs about $99 per month for small businesses【385046208067391†L290-L292】.</t>
  </si>
  <si>
    <t>Monthly premium; quantity = 12.</t>
  </si>
  <si>
    <t>General business insurance</t>
  </si>
  <si>
    <t>Commercial general liability insurance (coverage for property damage, bodily injury etc.)</t>
  </si>
  <si>
    <t>A Canadian insurance portal states that small business liability policies average around $450 per year【699830801638858†L670-L684】.</t>
  </si>
  <si>
    <t>Annual premium.</t>
  </si>
  <si>
    <t>Accounting &amp; bookkeeping</t>
  </si>
  <si>
    <t>Professional accounting software subscription and year‑end accountant fees</t>
  </si>
  <si>
    <t>Small businesses often spend around $2,000 annually on bookkeeping/accounting services; a mid‑range estimate is used (no specific citation).</t>
  </si>
  <si>
    <t>Annual professional fees.</t>
  </si>
  <si>
    <t>Legal &amp; compliance</t>
  </si>
  <si>
    <t>Ongoing legal advice, contract drafting and regulatory compliance</t>
  </si>
  <si>
    <t>A startup cost guide suggests legal fees can range from $500 to $10,000【597729645790862†L166-L167】; budgeting $2,500 annually covers routine legal support.</t>
  </si>
  <si>
    <t>Annual legal support estimate.</t>
  </si>
  <si>
    <t>Labour – production/operations staff</t>
  </si>
  <si>
    <t>Part‑time production/fulfillment worker (20 h/week at $20.40/h)</t>
  </si>
  <si>
    <t>Indeed reports that production workers earn about $20.40 per hour in Canada【1909604815993†L34-L51】. Working 20 h/week × 52 weeks ≈ $19,584 per year.</t>
  </si>
  <si>
    <t>Hours per year (960) × hourly wage (~$20.40).</t>
  </si>
  <si>
    <t>Digital marketing &amp; advertising</t>
  </si>
  <si>
    <t>Ongoing social media ads, influencer partnerships and content creation</t>
  </si>
  <si>
    <t>Annual (~$2,500 per month)</t>
  </si>
  <si>
    <t>A supplement business cost guide notes digital marketing can cost $500–5,000 per month【953063979727037†L273-L288】; budgeting $2,500/month gives a competitive presence.</t>
  </si>
  <si>
    <t>Monthly marketing spend; quantity = 12 months.</t>
  </si>
  <si>
    <t>Shipping &amp; fulfillment (pick‑and‑pack)</t>
  </si>
  <si>
    <t>Third‑party logistics fees to pick and pack orders (~$3.18 per order for 1,000 orders per month)</t>
  </si>
  <si>
    <t>A warehousing cost survey shows pick‑and‑pack fees have risen to about $3.18 per B2C order【589429766694855†L233-L238】. Assuming ~1,000 orders per month results in ≈$3,180/month or $38,160/year.</t>
  </si>
  <si>
    <t>Per order pick-and-pack fee; quantity = 12,000 orders.</t>
  </si>
  <si>
    <t>Software subscriptions (e‑commerce &amp; tools)</t>
  </si>
  <si>
    <t>Shopify Basic plan and other software (email marketing, project management)</t>
  </si>
  <si>
    <t>Annual (~$150 per month)</t>
  </si>
  <si>
    <t>Shopify’s Basic plan costs $39 per month【350297112125539†L234-L247】. Including email marketing and project‑management apps (~$110/month), we budget $150/month.</t>
  </si>
  <si>
    <t>Monthly subscription costs; quantity = 12.</t>
  </si>
  <si>
    <t>Travel &amp; events</t>
  </si>
  <si>
    <t>Travel to sports tournaments, sponsorships, vehicle mileage and sampling events</t>
  </si>
  <si>
    <t>The report suggests sponsoring tournaments and travelling to events; a conservative annual budget of $3,000 covers travel and sponsorship costs【1380†L1380-L1388】.</t>
  </si>
  <si>
    <t>Annual budget for events and travel.</t>
  </si>
  <si>
    <t>Salaries (General)</t>
  </si>
  <si>
    <t>Annual salaries for key team members (management, marketing, operations)</t>
  </si>
  <si>
    <t>Assumed salary budget for key roles based on business plan</t>
  </si>
  <si>
    <t>Total salaries for core team (CEO, COO, marketer).</t>
  </si>
  <si>
    <t>App developer salary</t>
  </si>
  <si>
    <t>Salary for one full‑time mobile app developer</t>
  </si>
  <si>
    <t>Indeed reports the average mobile developer salary in Canada is about $89,253/year and Markham $132,003/year【495403411433146†L40-L95】; budgeting $90,000/year</t>
  </si>
  <si>
    <t>Competitive salary to attract experienced developer.</t>
  </si>
  <si>
    <t>App development (one‑time)</t>
  </si>
  <si>
    <t>Initial cost to design and build the mobile app (UI/UX, backend, testing)</t>
  </si>
  <si>
    <t>A mobile app cost guide notes that traction‑generating apps average around $80,000【682891692532251†L159-L166】.</t>
  </si>
  <si>
    <t>Covers design, development and testing for initial launch.</t>
  </si>
  <si>
    <t>Ongoing online advertising, social media promotion and content creation</t>
  </si>
  <si>
    <t>Monthly</t>
  </si>
  <si>
    <t>A social media marketing guide states small businesses invest $500–5,000 per month on social media marketing【843832962739058†L675-L716】; budgeting $3,000/month for a mid‑range campaign.</t>
  </si>
  <si>
    <t>Used to acquire and retain app users.</t>
  </si>
  <si>
    <t>Legal &amp; compliance (app)</t>
  </si>
  <si>
    <t>Legal advice, contract drafting and compliance for the digital app</t>
  </si>
  <si>
    <t>Estimated cost for routine legal support (contracts, privacy policy, terms of service).</t>
  </si>
  <si>
    <t>Includes annual legal consultations and document updates.</t>
  </si>
  <si>
    <t>HQ rent/co‑working space</t>
  </si>
  <si>
    <t>Co‑working or small office space for team (approx. $850/month)</t>
  </si>
  <si>
    <t>Based on old group figure; typical co‑working space cost around $850 per month.</t>
  </si>
  <si>
    <t>Provides workspace for team and meetings.</t>
  </si>
  <si>
    <t>Cloud data storage</t>
  </si>
  <si>
    <t>Amazon S3 or similar storage for user data and backups (~1 TB)</t>
  </si>
  <si>
    <t>A university guide notes that Amazon S3 standard storage costs about $0.023 per GB per month【437523272659624†L64-L82】; 1 TB (≈1,000 GB) costs ≈$23/month (rounded to $25).</t>
  </si>
  <si>
    <t>Includes storage for data, logs and backups.</t>
  </si>
  <si>
    <t>Consumer/user research</t>
  </si>
  <si>
    <t>Market surveys, focus groups and usability testing</t>
  </si>
  <si>
    <t>Budget based on old group figure for consumer research.</t>
  </si>
  <si>
    <t>Covers professional services for user research before launch.</t>
  </si>
  <si>
    <t>App maintenance</t>
  </si>
  <si>
    <t>Ongoing updates, bug fixes and feature enhancements</t>
  </si>
  <si>
    <t>Estimated annual cost for maintaining and updating the app.</t>
  </si>
  <si>
    <t>Includes minor enhancements and bug fixes.</t>
  </si>
  <si>
    <t>Servers/cloud compute</t>
  </si>
  <si>
    <t>Initial server hardware or upfront cloud compute setup costs</t>
  </si>
  <si>
    <t>Initial cost to set up backend server infrastructure.</t>
  </si>
  <si>
    <t>Assumes using cloud compute with reserved instances or hardware purchase.</t>
  </si>
  <si>
    <t>Computers &amp; equipment</t>
  </si>
  <si>
    <t>Laptops/workstations for four team members ($1,000 each)</t>
  </si>
  <si>
    <t>Hardware cost estimate based on market prices for quality laptops.</t>
  </si>
  <si>
    <t>Four machines needed for development and operations.</t>
  </si>
  <si>
    <t>Internet services</t>
  </si>
  <si>
    <t>High‑speed business internet plan</t>
  </si>
  <si>
    <t>Business internet guides estimate basic plans from $50 per month【21025801519659†L145-L153】; including taxes and premium speeds, budgeting $200/month.</t>
  </si>
  <si>
    <t>Supports cloud services and remote work.</t>
  </si>
  <si>
    <t>Business &amp; liability insurance</t>
  </si>
  <si>
    <t>General liability and employer’s liability coverage</t>
  </si>
  <si>
    <t>Kase Insurance notes that low‑risk small businesses can pay $300–$800 per year for employers’ liability insurance【750538109237548†L203-L244】; budgeting $800/year.</t>
  </si>
  <si>
    <t>Covers legal liability and employee claims.</t>
  </si>
  <si>
    <t>Business registration</t>
  </si>
  <si>
    <t>Provincial business registration fees</t>
  </si>
  <si>
    <t>Based on typical provincial business registration costs.</t>
  </si>
  <si>
    <t>Covers incorporation or registration with government.</t>
  </si>
  <si>
    <t>Registration of company name and logo</t>
  </si>
  <si>
    <t>Heer Law notes a trademark application filing fee of $478.15 for the first class and indicates most trademarks cost $2,000–$4,000 in total【201018833272773†L30-L33】【201018833272773†L123-L124】.</t>
  </si>
  <si>
    <t>Includes official fees and professional services for one class.</t>
  </si>
  <si>
    <t>App store developer fee</t>
  </si>
  <si>
    <t>Annual fee for Apple/Google app store developer accounts</t>
  </si>
  <si>
    <t>Apple Developer Program costs about $99/year.</t>
  </si>
  <si>
    <t>Assumes one developer account covering both platforms.</t>
  </si>
  <si>
    <t>CRM software subscription</t>
  </si>
  <si>
    <t>Customer relationship management (CRM) software for 3 users ($15/user/month)</t>
  </si>
  <si>
    <t>A CRM cost guide states low‑cost CRMs range $10–$30 per user/month and gives examples like Zoho CRM at $14 and Freshsales at $15 per user/month【242176787376634†L161-L223】.</t>
  </si>
  <si>
    <t>Three users x $15 per user per month = $540/year.</t>
  </si>
  <si>
    <t>Slack communication subscription</t>
  </si>
  <si>
    <t>Slack Pro plan for 4 users ($7.25/user/month)</t>
  </si>
  <si>
    <t>Slack’s Pro plan costs $7.25 per user per month when billed annually【94258021537118†L82-L150】.</t>
  </si>
  <si>
    <t>Four users × 12 months = 48 user‑months.</t>
  </si>
  <si>
    <t>Figma design software</t>
  </si>
  <si>
    <t>Figma Professional plan for 2 editors ($12/editor/month)</t>
  </si>
  <si>
    <t>Figma’s Professional plan starts at $12 per editor per month when billed annually【110778969403245†L113-L120】.</t>
  </si>
  <si>
    <t>Two editors × 12 months = 24 editor‑months.</t>
  </si>
  <si>
    <t>Accounting &amp; payroll software</t>
  </si>
  <si>
    <t>QuickBooks Online Essentials plan ($75/month)</t>
  </si>
  <si>
    <t>A report on QuickBooks price increases lists the Essentials plan rising to $75 per month in 2025【139276050741637†L69-L100】.</t>
  </si>
  <si>
    <t>Annual cost of $900 for accounting and payroll management.</t>
  </si>
  <si>
    <t>Customer support platform</t>
  </si>
  <si>
    <t>Intercom Essential plan for 2 agents ($29/seat/month)</t>
  </si>
  <si>
    <t>An Intercom pricing guide notes the Essential plan starts at $29 per seat per month (billed annually)【780177795593560†L490-L498】.</t>
  </si>
  <si>
    <t>Two agents × 12 months = 24 seat‑months.</t>
  </si>
  <si>
    <t>Domain registration</t>
  </si>
  <si>
    <t>Annual fee for domain name (.com)</t>
  </si>
  <si>
    <t>Shopify’s website cost guide notes domain names typically cost $10–$20 per year【638641775254256†L704-L708】.</t>
  </si>
  <si>
    <t>One domain registered for the company website.</t>
  </si>
  <si>
    <t>Web hosting</t>
  </si>
  <si>
    <t>Web hosting service (~$20/month)</t>
  </si>
  <si>
    <t>Shopify’s guide states web hosting generally costs $10–$25 per month【638641775254256†L704-L708】; budgeting $20/month.</t>
  </si>
  <si>
    <t>Shared or cloud hosting for website and app landing page.</t>
  </si>
  <si>
    <t>Payment processing fees</t>
  </si>
  <si>
    <t>Estimated annual fees for payment gateway (e.g., Stripe at ~2.9% + $0.30 per transaction)</t>
  </si>
  <si>
    <t>Shopify notes that online credit card transactions typically incur 2.5–2.9% + $0.30 per transaction【840550886157925†L300-L305】; estimated annual fees based on projected transaction volume.</t>
  </si>
  <si>
    <t>Actual costs depend on sales volume and processor rates.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</si>
</sst>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3" borderId="0" xfId="0" applyFont="1" applyFill="1" applyAlignment="1">
      <alignment wrapText="1"/>
    </xf>
    <xf numFmtId="164" fontId="1" fillId="3" borderId="0" xfId="0" applyNumberFormat="1" applyFont="1" applyFill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opLeftCell="A4" workbookViewId="0"/>
  </sheetViews>
  <sheetFormatPr defaultRowHeight="14.4" x14ac:dyDescent="0.3"/>
  <cols>
    <col min="1" max="1" width="25" customWidth="1"/>
    <col min="2" max="2" width="50" customWidth="1"/>
    <col min="3" max="3" width="18" customWidth="1"/>
    <col min="4" max="4" width="12" customWidth="1"/>
    <col min="5" max="5" width="20" customWidth="1"/>
    <col min="6" max="6" width="15" customWidth="1"/>
    <col min="7" max="8" width="60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3">
        <v>25000</v>
      </c>
      <c r="D2" s="2">
        <v>1</v>
      </c>
      <c r="E2" s="3">
        <f t="shared" ref="E2:E15" si="0">C2*D2</f>
        <v>25000</v>
      </c>
      <c r="F2" s="2" t="s">
        <v>10</v>
      </c>
      <c r="G2" s="2" t="s">
        <v>11</v>
      </c>
      <c r="H2" s="2" t="s">
        <v>12</v>
      </c>
    </row>
    <row r="3" spans="1:8" ht="43.2" x14ac:dyDescent="0.3">
      <c r="A3" s="2" t="s">
        <v>13</v>
      </c>
      <c r="B3" s="2" t="s">
        <v>14</v>
      </c>
      <c r="C3" s="3">
        <v>10000</v>
      </c>
      <c r="D3" s="2">
        <v>1</v>
      </c>
      <c r="E3" s="3">
        <f t="shared" si="0"/>
        <v>10000</v>
      </c>
      <c r="F3" s="2" t="s">
        <v>10</v>
      </c>
      <c r="G3" s="2" t="s">
        <v>15</v>
      </c>
      <c r="H3" s="2" t="s">
        <v>16</v>
      </c>
    </row>
    <row r="4" spans="1:8" ht="43.2" x14ac:dyDescent="0.3">
      <c r="A4" s="2" t="s">
        <v>17</v>
      </c>
      <c r="B4" s="2" t="s">
        <v>18</v>
      </c>
      <c r="C4" s="3">
        <v>15000</v>
      </c>
      <c r="D4" s="2">
        <v>1</v>
      </c>
      <c r="E4" s="3">
        <f t="shared" si="0"/>
        <v>15000</v>
      </c>
      <c r="F4" s="2" t="s">
        <v>10</v>
      </c>
      <c r="G4" s="2" t="s">
        <v>19</v>
      </c>
      <c r="H4" s="2" t="s">
        <v>20</v>
      </c>
    </row>
    <row r="5" spans="1:8" ht="43.2" x14ac:dyDescent="0.3">
      <c r="A5" s="2" t="s">
        <v>21</v>
      </c>
      <c r="B5" s="2" t="s">
        <v>22</v>
      </c>
      <c r="C5" s="3">
        <v>20000</v>
      </c>
      <c r="D5" s="2">
        <v>1</v>
      </c>
      <c r="E5" s="3">
        <f t="shared" si="0"/>
        <v>20000</v>
      </c>
      <c r="F5" s="2" t="s">
        <v>10</v>
      </c>
      <c r="G5" s="2" t="s">
        <v>23</v>
      </c>
      <c r="H5" s="2" t="s">
        <v>24</v>
      </c>
    </row>
    <row r="6" spans="1:8" ht="57.6" x14ac:dyDescent="0.3">
      <c r="A6" s="2" t="s">
        <v>25</v>
      </c>
      <c r="B6" s="2" t="s">
        <v>26</v>
      </c>
      <c r="C6" s="3">
        <v>3.33</v>
      </c>
      <c r="D6" s="2">
        <v>15000</v>
      </c>
      <c r="E6" s="3">
        <f t="shared" si="0"/>
        <v>49950</v>
      </c>
      <c r="F6" s="2" t="s">
        <v>27</v>
      </c>
      <c r="G6" s="2" t="s">
        <v>28</v>
      </c>
      <c r="H6" s="2" t="s">
        <v>29</v>
      </c>
    </row>
    <row r="7" spans="1:8" ht="43.2" x14ac:dyDescent="0.3">
      <c r="A7" s="2" t="s">
        <v>30</v>
      </c>
      <c r="B7" s="2" t="s">
        <v>31</v>
      </c>
      <c r="C7" s="3">
        <v>30000</v>
      </c>
      <c r="D7" s="2">
        <v>1</v>
      </c>
      <c r="E7" s="3">
        <f t="shared" si="0"/>
        <v>30000</v>
      </c>
      <c r="F7" s="2" t="s">
        <v>32</v>
      </c>
      <c r="G7" s="2" t="s">
        <v>33</v>
      </c>
      <c r="H7" s="2" t="s">
        <v>34</v>
      </c>
    </row>
    <row r="8" spans="1:8" ht="43.2" x14ac:dyDescent="0.3">
      <c r="A8" s="2" t="s">
        <v>35</v>
      </c>
      <c r="B8" s="2" t="s">
        <v>36</v>
      </c>
      <c r="C8" s="3">
        <v>5000</v>
      </c>
      <c r="D8" s="2">
        <v>1</v>
      </c>
      <c r="E8" s="3">
        <f t="shared" si="0"/>
        <v>5000</v>
      </c>
      <c r="F8" s="2" t="s">
        <v>10</v>
      </c>
      <c r="G8" s="2" t="s">
        <v>37</v>
      </c>
      <c r="H8" s="2" t="s">
        <v>38</v>
      </c>
    </row>
    <row r="9" spans="1:8" ht="43.2" x14ac:dyDescent="0.3">
      <c r="A9" s="2" t="s">
        <v>39</v>
      </c>
      <c r="B9" s="2" t="s">
        <v>40</v>
      </c>
      <c r="C9" s="3">
        <v>330</v>
      </c>
      <c r="D9" s="2">
        <v>1</v>
      </c>
      <c r="E9" s="3">
        <f t="shared" si="0"/>
        <v>330</v>
      </c>
      <c r="F9" s="2" t="s">
        <v>41</v>
      </c>
      <c r="G9" s="2" t="s">
        <v>42</v>
      </c>
      <c r="H9" s="2" t="s">
        <v>43</v>
      </c>
    </row>
    <row r="10" spans="1:8" ht="57.6" x14ac:dyDescent="0.3">
      <c r="A10" s="2" t="s">
        <v>44</v>
      </c>
      <c r="B10" s="2" t="s">
        <v>45</v>
      </c>
      <c r="C10" s="3">
        <v>7200</v>
      </c>
      <c r="D10" s="2">
        <v>3</v>
      </c>
      <c r="E10" s="3">
        <f t="shared" si="0"/>
        <v>21600</v>
      </c>
      <c r="F10" s="2" t="s">
        <v>46</v>
      </c>
      <c r="G10" s="2" t="s">
        <v>47</v>
      </c>
      <c r="H10" s="2" t="s">
        <v>48</v>
      </c>
    </row>
    <row r="11" spans="1:8" ht="57.6" x14ac:dyDescent="0.3">
      <c r="A11" s="2" t="s">
        <v>49</v>
      </c>
      <c r="B11" s="2" t="s">
        <v>50</v>
      </c>
      <c r="C11" s="3">
        <v>7200</v>
      </c>
      <c r="D11" s="2">
        <v>3</v>
      </c>
      <c r="E11" s="3">
        <f t="shared" si="0"/>
        <v>21600</v>
      </c>
      <c r="F11" s="2" t="s">
        <v>51</v>
      </c>
      <c r="G11" s="2" t="s">
        <v>52</v>
      </c>
      <c r="H11" s="2" t="s">
        <v>53</v>
      </c>
    </row>
    <row r="12" spans="1:8" ht="28.8" x14ac:dyDescent="0.3">
      <c r="A12" s="2" t="s">
        <v>54</v>
      </c>
      <c r="B12" s="2" t="s">
        <v>55</v>
      </c>
      <c r="C12" s="3">
        <v>134</v>
      </c>
      <c r="D12" s="2">
        <v>1</v>
      </c>
      <c r="E12" s="3">
        <f t="shared" si="0"/>
        <v>134</v>
      </c>
      <c r="F12" s="2" t="s">
        <v>46</v>
      </c>
      <c r="G12" s="2" t="s">
        <v>56</v>
      </c>
      <c r="H12" s="2" t="s">
        <v>57</v>
      </c>
    </row>
    <row r="13" spans="1:8" ht="28.8" x14ac:dyDescent="0.3">
      <c r="A13" s="2" t="s">
        <v>58</v>
      </c>
      <c r="B13" s="2" t="s">
        <v>59</v>
      </c>
      <c r="C13" s="3">
        <v>1665</v>
      </c>
      <c r="D13" s="2">
        <v>5</v>
      </c>
      <c r="E13" s="3">
        <f t="shared" si="0"/>
        <v>8325</v>
      </c>
      <c r="F13" s="2" t="s">
        <v>46</v>
      </c>
      <c r="G13" s="2" t="s">
        <v>60</v>
      </c>
      <c r="H13" s="2" t="s">
        <v>61</v>
      </c>
    </row>
    <row r="14" spans="1:8" ht="43.2" x14ac:dyDescent="0.3">
      <c r="A14" s="2" t="s">
        <v>62</v>
      </c>
      <c r="B14" s="2" t="s">
        <v>63</v>
      </c>
      <c r="C14" s="3">
        <v>2000</v>
      </c>
      <c r="D14" s="2">
        <v>1</v>
      </c>
      <c r="E14" s="3">
        <f t="shared" si="0"/>
        <v>2000</v>
      </c>
      <c r="F14" s="2" t="s">
        <v>46</v>
      </c>
      <c r="G14" s="2" t="s">
        <v>64</v>
      </c>
      <c r="H14" s="2" t="s">
        <v>65</v>
      </c>
    </row>
    <row r="15" spans="1:8" ht="57.6" x14ac:dyDescent="0.3">
      <c r="A15" s="2" t="s">
        <v>66</v>
      </c>
      <c r="B15" s="2" t="s">
        <v>67</v>
      </c>
      <c r="C15" s="3">
        <v>870</v>
      </c>
      <c r="D15" s="2">
        <v>2</v>
      </c>
      <c r="E15" s="3">
        <f t="shared" si="0"/>
        <v>1740</v>
      </c>
      <c r="F15" s="2" t="s">
        <v>68</v>
      </c>
      <c r="G15" s="2" t="s">
        <v>69</v>
      </c>
      <c r="H15" s="2" t="s">
        <v>70</v>
      </c>
    </row>
    <row r="16" spans="1:8" x14ac:dyDescent="0.3">
      <c r="A16" s="4" t="s">
        <v>71</v>
      </c>
      <c r="B16" s="4"/>
      <c r="C16" s="4"/>
      <c r="D16" s="4"/>
      <c r="E16" s="5">
        <f>SUM(E2:E15)</f>
        <v>210679</v>
      </c>
      <c r="F16" s="4"/>
      <c r="G16" s="4"/>
      <c r="H16" s="4"/>
    </row>
  </sheetData>
  <dataValidations count="1">
    <dataValidation type="list" allowBlank="1" errorTitle="Invalid Frequency" error="Select a valid frequency from the list." prompt="Choose a frequency from the dropdown." sqref="F2:F15" xr:uid="{00000000-0002-0000-0000-000000000000}">
      <formula1>"One-time,Startup (first year),Startup inventory,Annual,Monthly,Per Order,Per Unit"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tabSelected="1" topLeftCell="A12" zoomScale="79" zoomScaleNormal="70" workbookViewId="0">
      <selection activeCell="A42" sqref="A42"/>
    </sheetView>
  </sheetViews>
  <sheetFormatPr defaultRowHeight="14.4" x14ac:dyDescent="0.3"/>
  <cols>
    <col min="1" max="1" width="25" customWidth="1"/>
    <col min="2" max="2" width="50" customWidth="1"/>
    <col min="3" max="3" width="18" customWidth="1"/>
    <col min="4" max="4" width="12" customWidth="1"/>
    <col min="5" max="5" width="20" customWidth="1"/>
    <col min="6" max="6" width="15" customWidth="1"/>
    <col min="7" max="8" width="60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 t="s">
        <v>72</v>
      </c>
      <c r="B2" s="2" t="s">
        <v>73</v>
      </c>
      <c r="C2" s="3">
        <v>2</v>
      </c>
      <c r="D2" s="2">
        <v>15000</v>
      </c>
      <c r="E2" s="3">
        <f t="shared" ref="E2:E39" si="0">C2*D2</f>
        <v>30000</v>
      </c>
      <c r="F2" s="2" t="s">
        <v>74</v>
      </c>
      <c r="G2" s="2" t="s">
        <v>75</v>
      </c>
      <c r="H2" s="2" t="s">
        <v>76</v>
      </c>
    </row>
    <row r="3" spans="1:8" ht="43.2" x14ac:dyDescent="0.3">
      <c r="A3" s="2" t="s">
        <v>77</v>
      </c>
      <c r="B3" s="2" t="s">
        <v>78</v>
      </c>
      <c r="C3" s="3">
        <v>23000</v>
      </c>
      <c r="D3" s="2">
        <v>1</v>
      </c>
      <c r="E3" s="3">
        <f t="shared" si="0"/>
        <v>23000</v>
      </c>
      <c r="F3" s="2" t="s">
        <v>79</v>
      </c>
      <c r="G3" s="2" t="s">
        <v>80</v>
      </c>
      <c r="H3" s="2" t="s">
        <v>81</v>
      </c>
    </row>
    <row r="4" spans="1:8" ht="43.2" x14ac:dyDescent="0.3">
      <c r="A4" s="2" t="s">
        <v>82</v>
      </c>
      <c r="B4" s="2" t="s">
        <v>83</v>
      </c>
      <c r="C4" s="3">
        <v>542</v>
      </c>
      <c r="D4" s="2">
        <v>3</v>
      </c>
      <c r="E4" s="3">
        <f t="shared" si="0"/>
        <v>1626</v>
      </c>
      <c r="F4" s="2" t="s">
        <v>79</v>
      </c>
      <c r="G4" s="2" t="s">
        <v>84</v>
      </c>
      <c r="H4" s="2" t="s">
        <v>85</v>
      </c>
    </row>
    <row r="5" spans="1:8" ht="43.2" x14ac:dyDescent="0.3">
      <c r="A5" s="2" t="s">
        <v>86</v>
      </c>
      <c r="B5" s="2" t="s">
        <v>87</v>
      </c>
      <c r="C5" s="3">
        <v>868.33</v>
      </c>
      <c r="D5" s="2">
        <v>12</v>
      </c>
      <c r="E5" s="3">
        <f t="shared" si="0"/>
        <v>10419.960000000001</v>
      </c>
      <c r="F5" s="2" t="s">
        <v>88</v>
      </c>
      <c r="G5" s="2" t="s">
        <v>89</v>
      </c>
      <c r="H5" s="2" t="s">
        <v>90</v>
      </c>
    </row>
    <row r="6" spans="1:8" ht="43.2" x14ac:dyDescent="0.3">
      <c r="A6" s="2" t="s">
        <v>91</v>
      </c>
      <c r="B6" s="2" t="s">
        <v>92</v>
      </c>
      <c r="C6" s="3">
        <v>200</v>
      </c>
      <c r="D6" s="2">
        <v>12</v>
      </c>
      <c r="E6" s="3">
        <f t="shared" si="0"/>
        <v>2400</v>
      </c>
      <c r="F6" s="2" t="s">
        <v>93</v>
      </c>
      <c r="G6" s="2" t="s">
        <v>94</v>
      </c>
      <c r="H6" s="2" t="s">
        <v>95</v>
      </c>
    </row>
    <row r="7" spans="1:8" ht="28.8" x14ac:dyDescent="0.3">
      <c r="A7" s="2" t="s">
        <v>96</v>
      </c>
      <c r="B7" s="2" t="s">
        <v>97</v>
      </c>
      <c r="C7" s="3">
        <v>99.33</v>
      </c>
      <c r="D7" s="2">
        <v>12</v>
      </c>
      <c r="E7" s="3">
        <f t="shared" si="0"/>
        <v>1191.96</v>
      </c>
      <c r="F7" s="2" t="s">
        <v>98</v>
      </c>
      <c r="G7" s="2" t="s">
        <v>99</v>
      </c>
      <c r="H7" s="2" t="s">
        <v>100</v>
      </c>
    </row>
    <row r="8" spans="1:8" ht="28.8" x14ac:dyDescent="0.3">
      <c r="A8" s="2" t="s">
        <v>101</v>
      </c>
      <c r="B8" s="2" t="s">
        <v>102</v>
      </c>
      <c r="C8" s="3">
        <v>450</v>
      </c>
      <c r="D8" s="2">
        <v>1</v>
      </c>
      <c r="E8" s="3">
        <f t="shared" si="0"/>
        <v>450</v>
      </c>
      <c r="F8" s="2" t="s">
        <v>79</v>
      </c>
      <c r="G8" s="2" t="s">
        <v>103</v>
      </c>
      <c r="H8" s="2" t="s">
        <v>104</v>
      </c>
    </row>
    <row r="9" spans="1:8" ht="43.2" x14ac:dyDescent="0.3">
      <c r="A9" s="2" t="s">
        <v>105</v>
      </c>
      <c r="B9" s="2" t="s">
        <v>106</v>
      </c>
      <c r="C9" s="3">
        <v>2000</v>
      </c>
      <c r="D9" s="2">
        <v>1</v>
      </c>
      <c r="E9" s="3">
        <f t="shared" si="0"/>
        <v>2000</v>
      </c>
      <c r="F9" s="2" t="s">
        <v>79</v>
      </c>
      <c r="G9" s="2" t="s">
        <v>107</v>
      </c>
      <c r="H9" s="2" t="s">
        <v>108</v>
      </c>
    </row>
    <row r="10" spans="1:8" ht="43.2" x14ac:dyDescent="0.3">
      <c r="A10" s="2" t="s">
        <v>109</v>
      </c>
      <c r="B10" s="2" t="s">
        <v>110</v>
      </c>
      <c r="C10" s="3">
        <v>2500</v>
      </c>
      <c r="D10" s="2">
        <v>1</v>
      </c>
      <c r="E10" s="3">
        <f t="shared" si="0"/>
        <v>2500</v>
      </c>
      <c r="F10" s="2" t="s">
        <v>79</v>
      </c>
      <c r="G10" s="2" t="s">
        <v>111</v>
      </c>
      <c r="H10" s="2" t="s">
        <v>112</v>
      </c>
    </row>
    <row r="11" spans="1:8" ht="43.2" x14ac:dyDescent="0.3">
      <c r="A11" s="2" t="s">
        <v>113</v>
      </c>
      <c r="B11" s="2" t="s">
        <v>114</v>
      </c>
      <c r="C11" s="3">
        <v>20.399999999999999</v>
      </c>
      <c r="D11" s="2">
        <v>960</v>
      </c>
      <c r="E11" s="3">
        <f t="shared" si="0"/>
        <v>19584</v>
      </c>
      <c r="F11" s="2" t="s">
        <v>79</v>
      </c>
      <c r="G11" s="2" t="s">
        <v>115</v>
      </c>
      <c r="H11" s="2" t="s">
        <v>116</v>
      </c>
    </row>
    <row r="12" spans="1:8" ht="43.2" x14ac:dyDescent="0.3">
      <c r="A12" s="2" t="s">
        <v>117</v>
      </c>
      <c r="B12" s="2" t="s">
        <v>118</v>
      </c>
      <c r="C12" s="3">
        <v>2500</v>
      </c>
      <c r="D12" s="2">
        <v>12</v>
      </c>
      <c r="E12" s="3">
        <f t="shared" si="0"/>
        <v>30000</v>
      </c>
      <c r="F12" s="2" t="s">
        <v>119</v>
      </c>
      <c r="G12" s="2" t="s">
        <v>120</v>
      </c>
      <c r="H12" s="2" t="s">
        <v>121</v>
      </c>
    </row>
    <row r="13" spans="1:8" ht="57.6" x14ac:dyDescent="0.3">
      <c r="A13" s="2" t="s">
        <v>122</v>
      </c>
      <c r="B13" s="2" t="s">
        <v>123</v>
      </c>
      <c r="C13" s="3">
        <v>3.18</v>
      </c>
      <c r="D13" s="2">
        <v>12000</v>
      </c>
      <c r="E13" s="3">
        <f t="shared" si="0"/>
        <v>38160</v>
      </c>
      <c r="F13" s="2" t="s">
        <v>79</v>
      </c>
      <c r="G13" s="2" t="s">
        <v>124</v>
      </c>
      <c r="H13" s="2" t="s">
        <v>125</v>
      </c>
    </row>
    <row r="14" spans="1:8" ht="43.2" x14ac:dyDescent="0.3">
      <c r="A14" s="2" t="s">
        <v>126</v>
      </c>
      <c r="B14" s="2" t="s">
        <v>127</v>
      </c>
      <c r="C14" s="3">
        <v>150</v>
      </c>
      <c r="D14" s="2">
        <v>12</v>
      </c>
      <c r="E14" s="3">
        <f t="shared" si="0"/>
        <v>1800</v>
      </c>
      <c r="F14" s="2" t="s">
        <v>128</v>
      </c>
      <c r="G14" s="2" t="s">
        <v>129</v>
      </c>
      <c r="H14" s="2" t="s">
        <v>130</v>
      </c>
    </row>
    <row r="15" spans="1:8" ht="43.2" x14ac:dyDescent="0.3">
      <c r="A15" s="2" t="s">
        <v>131</v>
      </c>
      <c r="B15" s="2" t="s">
        <v>132</v>
      </c>
      <c r="C15" s="3">
        <v>3000</v>
      </c>
      <c r="D15" s="2">
        <v>1</v>
      </c>
      <c r="E15" s="3">
        <f t="shared" si="0"/>
        <v>3000</v>
      </c>
      <c r="F15" s="2" t="s">
        <v>79</v>
      </c>
      <c r="G15" s="2" t="s">
        <v>133</v>
      </c>
      <c r="H15" s="2" t="s">
        <v>134</v>
      </c>
    </row>
    <row r="16" spans="1:8" x14ac:dyDescent="0.3">
      <c r="A16" t="s">
        <v>135</v>
      </c>
      <c r="B16" t="s">
        <v>136</v>
      </c>
      <c r="C16" s="6">
        <v>150000</v>
      </c>
      <c r="D16">
        <v>1</v>
      </c>
      <c r="E16" s="6">
        <f t="shared" si="0"/>
        <v>150000</v>
      </c>
      <c r="F16" t="s">
        <v>79</v>
      </c>
      <c r="G16" t="s">
        <v>137</v>
      </c>
      <c r="H16" t="s">
        <v>138</v>
      </c>
    </row>
    <row r="17" spans="1:8" x14ac:dyDescent="0.3">
      <c r="A17" t="s">
        <v>139</v>
      </c>
      <c r="B17" t="s">
        <v>140</v>
      </c>
      <c r="C17" s="6">
        <v>90000</v>
      </c>
      <c r="D17">
        <v>1</v>
      </c>
      <c r="E17" s="6">
        <f t="shared" si="0"/>
        <v>90000</v>
      </c>
      <c r="F17" t="s">
        <v>79</v>
      </c>
      <c r="G17" t="s">
        <v>141</v>
      </c>
      <c r="H17" t="s">
        <v>142</v>
      </c>
    </row>
    <row r="18" spans="1:8" x14ac:dyDescent="0.3">
      <c r="A18" t="s">
        <v>143</v>
      </c>
      <c r="B18" t="s">
        <v>144</v>
      </c>
      <c r="C18" s="6">
        <v>80000</v>
      </c>
      <c r="D18">
        <v>1</v>
      </c>
      <c r="E18" s="6">
        <f t="shared" si="0"/>
        <v>80000</v>
      </c>
      <c r="F18" t="s">
        <v>46</v>
      </c>
      <c r="G18" t="s">
        <v>145</v>
      </c>
      <c r="H18" t="s">
        <v>146</v>
      </c>
    </row>
    <row r="19" spans="1:8" x14ac:dyDescent="0.3">
      <c r="A19" t="s">
        <v>117</v>
      </c>
      <c r="B19" t="s">
        <v>147</v>
      </c>
      <c r="C19" s="6">
        <v>3000</v>
      </c>
      <c r="D19">
        <v>12</v>
      </c>
      <c r="E19" s="6">
        <f t="shared" si="0"/>
        <v>36000</v>
      </c>
      <c r="F19" t="s">
        <v>148</v>
      </c>
      <c r="G19" t="s">
        <v>149</v>
      </c>
      <c r="H19" t="s">
        <v>150</v>
      </c>
    </row>
    <row r="20" spans="1:8" x14ac:dyDescent="0.3">
      <c r="A20" t="s">
        <v>151</v>
      </c>
      <c r="B20" t="s">
        <v>152</v>
      </c>
      <c r="C20" s="6">
        <v>12000</v>
      </c>
      <c r="D20">
        <v>1</v>
      </c>
      <c r="E20" s="6">
        <f t="shared" si="0"/>
        <v>12000</v>
      </c>
      <c r="F20" t="s">
        <v>79</v>
      </c>
      <c r="G20" t="s">
        <v>153</v>
      </c>
      <c r="H20" t="s">
        <v>154</v>
      </c>
    </row>
    <row r="21" spans="1:8" x14ac:dyDescent="0.3">
      <c r="A21" t="s">
        <v>155</v>
      </c>
      <c r="B21" t="s">
        <v>156</v>
      </c>
      <c r="C21" s="6">
        <v>850</v>
      </c>
      <c r="D21">
        <v>12</v>
      </c>
      <c r="E21" s="6">
        <f t="shared" si="0"/>
        <v>10200</v>
      </c>
      <c r="F21" t="s">
        <v>148</v>
      </c>
      <c r="G21" t="s">
        <v>157</v>
      </c>
      <c r="H21" t="s">
        <v>158</v>
      </c>
    </row>
    <row r="22" spans="1:8" x14ac:dyDescent="0.3">
      <c r="A22" t="s">
        <v>159</v>
      </c>
      <c r="B22" t="s">
        <v>160</v>
      </c>
      <c r="C22" s="6">
        <v>25</v>
      </c>
      <c r="D22">
        <v>12</v>
      </c>
      <c r="E22" s="6">
        <f t="shared" si="0"/>
        <v>300</v>
      </c>
      <c r="F22" t="s">
        <v>148</v>
      </c>
      <c r="G22" t="s">
        <v>161</v>
      </c>
      <c r="H22" t="s">
        <v>162</v>
      </c>
    </row>
    <row r="23" spans="1:8" x14ac:dyDescent="0.3">
      <c r="A23" t="s">
        <v>163</v>
      </c>
      <c r="B23" t="s">
        <v>164</v>
      </c>
      <c r="C23" s="6">
        <v>10000</v>
      </c>
      <c r="D23">
        <v>1</v>
      </c>
      <c r="E23" s="6">
        <f t="shared" si="0"/>
        <v>10000</v>
      </c>
      <c r="F23" t="s">
        <v>46</v>
      </c>
      <c r="G23" t="s">
        <v>165</v>
      </c>
      <c r="H23" t="s">
        <v>166</v>
      </c>
    </row>
    <row r="24" spans="1:8" x14ac:dyDescent="0.3">
      <c r="A24" t="s">
        <v>167</v>
      </c>
      <c r="B24" t="s">
        <v>168</v>
      </c>
      <c r="C24" s="6">
        <v>7500</v>
      </c>
      <c r="D24">
        <v>1</v>
      </c>
      <c r="E24" s="6">
        <f t="shared" si="0"/>
        <v>7500</v>
      </c>
      <c r="F24" t="s">
        <v>79</v>
      </c>
      <c r="G24" t="s">
        <v>169</v>
      </c>
      <c r="H24" t="s">
        <v>170</v>
      </c>
    </row>
    <row r="25" spans="1:8" ht="28.8" x14ac:dyDescent="0.3">
      <c r="A25" t="s">
        <v>171</v>
      </c>
      <c r="B25" t="s">
        <v>172</v>
      </c>
      <c r="C25" s="6">
        <v>5000</v>
      </c>
      <c r="D25">
        <v>1</v>
      </c>
      <c r="E25" s="6">
        <f t="shared" si="0"/>
        <v>5000</v>
      </c>
      <c r="F25" t="s">
        <v>46</v>
      </c>
      <c r="G25" t="s">
        <v>173</v>
      </c>
      <c r="H25" s="2" t="s">
        <v>174</v>
      </c>
    </row>
    <row r="26" spans="1:8" x14ac:dyDescent="0.3">
      <c r="A26" t="s">
        <v>175</v>
      </c>
      <c r="B26" t="s">
        <v>176</v>
      </c>
      <c r="C26" s="6">
        <v>1000</v>
      </c>
      <c r="D26">
        <v>4</v>
      </c>
      <c r="E26" s="6">
        <f t="shared" si="0"/>
        <v>4000</v>
      </c>
      <c r="F26" t="s">
        <v>46</v>
      </c>
      <c r="G26" t="s">
        <v>177</v>
      </c>
      <c r="H26" t="s">
        <v>178</v>
      </c>
    </row>
    <row r="27" spans="1:8" x14ac:dyDescent="0.3">
      <c r="A27" t="s">
        <v>179</v>
      </c>
      <c r="B27" t="s">
        <v>180</v>
      </c>
      <c r="C27" s="6">
        <v>200</v>
      </c>
      <c r="D27">
        <v>12</v>
      </c>
      <c r="E27" s="6">
        <f t="shared" si="0"/>
        <v>2400</v>
      </c>
      <c r="F27" t="s">
        <v>148</v>
      </c>
      <c r="G27" t="s">
        <v>181</v>
      </c>
      <c r="H27" t="s">
        <v>182</v>
      </c>
    </row>
    <row r="28" spans="1:8" x14ac:dyDescent="0.3">
      <c r="A28" t="s">
        <v>183</v>
      </c>
      <c r="B28" t="s">
        <v>184</v>
      </c>
      <c r="C28" s="6">
        <v>800</v>
      </c>
      <c r="D28">
        <v>1</v>
      </c>
      <c r="E28" s="6">
        <f t="shared" si="0"/>
        <v>800</v>
      </c>
      <c r="F28" t="s">
        <v>79</v>
      </c>
      <c r="G28" t="s">
        <v>185</v>
      </c>
      <c r="H28" t="s">
        <v>186</v>
      </c>
    </row>
    <row r="29" spans="1:8" x14ac:dyDescent="0.3">
      <c r="A29" t="s">
        <v>187</v>
      </c>
      <c r="B29" t="s">
        <v>188</v>
      </c>
      <c r="C29" s="6">
        <v>360</v>
      </c>
      <c r="D29">
        <v>1</v>
      </c>
      <c r="E29" s="6">
        <f t="shared" si="0"/>
        <v>360</v>
      </c>
      <c r="F29" t="s">
        <v>46</v>
      </c>
      <c r="G29" t="s">
        <v>189</v>
      </c>
      <c r="H29" t="s">
        <v>190</v>
      </c>
    </row>
    <row r="30" spans="1:8" x14ac:dyDescent="0.3">
      <c r="A30" t="s">
        <v>39</v>
      </c>
      <c r="B30" t="s">
        <v>191</v>
      </c>
      <c r="C30" s="6">
        <v>2500</v>
      </c>
      <c r="D30">
        <v>1</v>
      </c>
      <c r="E30" s="6">
        <f t="shared" si="0"/>
        <v>2500</v>
      </c>
      <c r="F30" t="s">
        <v>46</v>
      </c>
      <c r="G30" t="s">
        <v>192</v>
      </c>
      <c r="H30" t="s">
        <v>193</v>
      </c>
    </row>
    <row r="31" spans="1:8" x14ac:dyDescent="0.3">
      <c r="A31" t="s">
        <v>194</v>
      </c>
      <c r="B31" t="s">
        <v>195</v>
      </c>
      <c r="C31" s="6">
        <v>99</v>
      </c>
      <c r="D31">
        <v>1</v>
      </c>
      <c r="E31" s="6">
        <f t="shared" si="0"/>
        <v>99</v>
      </c>
      <c r="F31" t="s">
        <v>79</v>
      </c>
      <c r="G31" t="s">
        <v>196</v>
      </c>
      <c r="H31" t="s">
        <v>197</v>
      </c>
    </row>
    <row r="32" spans="1:8" x14ac:dyDescent="0.3">
      <c r="A32" t="s">
        <v>198</v>
      </c>
      <c r="B32" t="s">
        <v>199</v>
      </c>
      <c r="C32" s="6">
        <v>15</v>
      </c>
      <c r="D32">
        <v>36</v>
      </c>
      <c r="E32" s="6">
        <f t="shared" si="0"/>
        <v>540</v>
      </c>
      <c r="F32" t="s">
        <v>148</v>
      </c>
      <c r="G32" t="s">
        <v>200</v>
      </c>
      <c r="H32" t="s">
        <v>201</v>
      </c>
    </row>
    <row r="33" spans="1:8" x14ac:dyDescent="0.3">
      <c r="A33" t="s">
        <v>202</v>
      </c>
      <c r="B33" t="s">
        <v>203</v>
      </c>
      <c r="C33" s="6">
        <v>7.25</v>
      </c>
      <c r="D33">
        <v>48</v>
      </c>
      <c r="E33" s="6">
        <f t="shared" si="0"/>
        <v>348</v>
      </c>
      <c r="F33" t="s">
        <v>148</v>
      </c>
      <c r="G33" t="s">
        <v>204</v>
      </c>
      <c r="H33" t="s">
        <v>205</v>
      </c>
    </row>
    <row r="34" spans="1:8" x14ac:dyDescent="0.3">
      <c r="A34" t="s">
        <v>206</v>
      </c>
      <c r="B34" t="s">
        <v>207</v>
      </c>
      <c r="C34" s="6">
        <v>12</v>
      </c>
      <c r="D34">
        <v>24</v>
      </c>
      <c r="E34" s="6">
        <f t="shared" si="0"/>
        <v>288</v>
      </c>
      <c r="F34" t="s">
        <v>148</v>
      </c>
      <c r="G34" t="s">
        <v>208</v>
      </c>
      <c r="H34" t="s">
        <v>209</v>
      </c>
    </row>
    <row r="35" spans="1:8" x14ac:dyDescent="0.3">
      <c r="A35" t="s">
        <v>210</v>
      </c>
      <c r="B35" t="s">
        <v>211</v>
      </c>
      <c r="C35" s="6">
        <v>75</v>
      </c>
      <c r="D35">
        <v>12</v>
      </c>
      <c r="E35" s="6">
        <f t="shared" si="0"/>
        <v>900</v>
      </c>
      <c r="F35" t="s">
        <v>148</v>
      </c>
      <c r="G35" t="s">
        <v>212</v>
      </c>
      <c r="H35" t="s">
        <v>213</v>
      </c>
    </row>
    <row r="36" spans="1:8" x14ac:dyDescent="0.3">
      <c r="A36" t="s">
        <v>214</v>
      </c>
      <c r="B36" t="s">
        <v>215</v>
      </c>
      <c r="C36" s="6">
        <v>29</v>
      </c>
      <c r="D36">
        <v>24</v>
      </c>
      <c r="E36" s="6">
        <f t="shared" si="0"/>
        <v>696</v>
      </c>
      <c r="F36" t="s">
        <v>148</v>
      </c>
      <c r="G36" t="s">
        <v>216</v>
      </c>
      <c r="H36" t="s">
        <v>217</v>
      </c>
    </row>
    <row r="37" spans="1:8" x14ac:dyDescent="0.3">
      <c r="A37" t="s">
        <v>218</v>
      </c>
      <c r="B37" t="s">
        <v>219</v>
      </c>
      <c r="C37" s="6">
        <v>20</v>
      </c>
      <c r="D37">
        <v>1</v>
      </c>
      <c r="E37" s="6">
        <f t="shared" si="0"/>
        <v>20</v>
      </c>
      <c r="F37" t="s">
        <v>79</v>
      </c>
      <c r="G37" t="s">
        <v>220</v>
      </c>
      <c r="H37" t="s">
        <v>221</v>
      </c>
    </row>
    <row r="38" spans="1:8" x14ac:dyDescent="0.3">
      <c r="A38" t="s">
        <v>222</v>
      </c>
      <c r="B38" t="s">
        <v>223</v>
      </c>
      <c r="C38" s="6">
        <v>20</v>
      </c>
      <c r="D38">
        <v>12</v>
      </c>
      <c r="E38" s="6">
        <f t="shared" si="0"/>
        <v>240</v>
      </c>
      <c r="F38" t="s">
        <v>148</v>
      </c>
      <c r="G38" t="s">
        <v>224</v>
      </c>
      <c r="H38" t="s">
        <v>225</v>
      </c>
    </row>
    <row r="39" spans="1:8" x14ac:dyDescent="0.3">
      <c r="A39" t="s">
        <v>226</v>
      </c>
      <c r="B39" t="s">
        <v>227</v>
      </c>
      <c r="C39" s="6">
        <v>1000</v>
      </c>
      <c r="D39">
        <v>1</v>
      </c>
      <c r="E39" s="6">
        <f t="shared" si="0"/>
        <v>1000</v>
      </c>
      <c r="F39" t="s">
        <v>79</v>
      </c>
      <c r="G39" t="s">
        <v>228</v>
      </c>
      <c r="H39" t="s">
        <v>229</v>
      </c>
    </row>
    <row r="40" spans="1:8" x14ac:dyDescent="0.3">
      <c r="A40" s="4" t="s">
        <v>71</v>
      </c>
      <c r="B40" s="4"/>
      <c r="C40" s="5"/>
      <c r="D40" s="4"/>
      <c r="E40" s="5">
        <f>SUM(E2:E39)</f>
        <v>581322.91999999993</v>
      </c>
      <c r="F40" s="4"/>
      <c r="G40" s="4"/>
      <c r="H40" s="4"/>
    </row>
  </sheetData>
  <dataValidations count="1">
    <dataValidation type="list" allowBlank="1" errorTitle="Invalid Frequency" error="Select a valid frequency from the list." prompt="Choose a frequency from the dropdown." sqref="F2:F15" xr:uid="{00000000-0002-0000-0100-000000000000}">
      <formula1>"One-time,Startup (first year),Startup inventory,Annual,Monthly,Per Order,Per Unit"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Startup Expenses</vt:lpstr>
      <vt:lpstr>Operating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Jayden Leung</cp:lastModifiedBy>
  <dcterms:created xsi:type="dcterms:W3CDTF">2025-11-26T19:55:10Z</dcterms:created>
  <dcterms:modified xsi:type="dcterms:W3CDTF">2025-12-13T21:44:28Z</dcterms:modified>
</cp:coreProperties>
</file>