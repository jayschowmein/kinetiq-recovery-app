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ck.stewart\Downloads\"/>
    </mc:Choice>
  </mc:AlternateContent>
  <xr:revisionPtr revIDLastSave="0" documentId="8_{B8893815-AC17-4103-A16D-4E77B91C05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 &amp; Cost Structur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C31" i="1"/>
  <c r="D2" i="1"/>
  <c r="D3" i="1"/>
  <c r="D4" i="1"/>
</calcChain>
</file>

<file path=xl/sharedStrings.xml><?xml version="1.0" encoding="utf-8"?>
<sst xmlns="http://schemas.openxmlformats.org/spreadsheetml/2006/main" count="132" uniqueCount="108">
  <si>
    <t>Product Description (Individual)</t>
  </si>
  <si>
    <t>Size of Each Individual Product (g)</t>
  </si>
  <si>
    <t>Price per Individual Product ($)</t>
  </si>
  <si>
    <t>Price per 100 g ($)</t>
  </si>
  <si>
    <t>Price per Package Size ($)</t>
  </si>
  <si>
    <t>Powder Packet (single serve)</t>
  </si>
  <si>
    <t>Jelly Stick (single)</t>
  </si>
  <si>
    <t>Go-Go Squeeze Pouch</t>
  </si>
  <si>
    <t>COSTS (Per Package)</t>
  </si>
  <si>
    <t>Product</t>
  </si>
  <si>
    <t>Retail Price per Package ($)</t>
  </si>
  <si>
    <t>Ingredient Cost ($)</t>
  </si>
  <si>
    <t>Packaging Cost ($)</t>
  </si>
  <si>
    <t>Co-packer / Labour &amp; QA ($)</t>
  </si>
  <si>
    <t>Total COGS per Package ($)</t>
  </si>
  <si>
    <t>Jelly Sticks (10 sticks, 25g)</t>
  </si>
  <si>
    <t>Cost of materials</t>
  </si>
  <si>
    <t>Ingredient</t>
  </si>
  <si>
    <t>%</t>
  </si>
  <si>
    <t>Grams (out of 400g)</t>
  </si>
  <si>
    <t>Cost/g</t>
  </si>
  <si>
    <t>Cost</t>
  </si>
  <si>
    <t>BCAA Blend (2:1:1)</t>
  </si>
  <si>
    <t>Electrolyte Blend</t>
  </si>
  <si>
    <t>L-Glutamine</t>
  </si>
  <si>
    <t>Creatine Monohydrate</t>
  </si>
  <si>
    <t>Turmeric Extract</t>
  </si>
  <si>
    <t>Adaptogen Complex</t>
  </si>
  <si>
    <t>20 g</t>
  </si>
  <si>
    <t>Natural Flavour</t>
  </si>
  <si>
    <t>Citric Acid</t>
  </si>
  <si>
    <t>Stevia</t>
  </si>
  <si>
    <t>Silica</t>
  </si>
  <si>
    <t xml:space="preserve">Total Ingredient </t>
  </si>
  <si>
    <t>Powder (30 packets,  13.3 g each(400g total)</t>
  </si>
  <si>
    <t>Ingredient Breakdown (250 g package)</t>
  </si>
  <si>
    <t>Grams (out of 250 g)</t>
  </si>
  <si>
    <t>Cost per g</t>
  </si>
  <si>
    <t>Cost ($)</t>
  </si>
  <si>
    <t>Pectin Gel Base</t>
  </si>
  <si>
    <t>112.5 g</t>
  </si>
  <si>
    <t>BCAA Blend</t>
  </si>
  <si>
    <t>37.5 g</t>
  </si>
  <si>
    <t>12.5 g</t>
  </si>
  <si>
    <t>Vitamin C + B-Complex</t>
  </si>
  <si>
    <t>Natural Juice Concentrate</t>
  </si>
  <si>
    <t>50 g</t>
  </si>
  <si>
    <t>Tapioca Syrup</t>
  </si>
  <si>
    <t>Sweetener</t>
  </si>
  <si>
    <t>2.5 g</t>
  </si>
  <si>
    <t>✔ Total Ingredient Cost (Jelly Sticks)</t>
  </si>
  <si>
    <t>$11.99 per 250 g pack</t>
  </si>
  <si>
    <t>Ingredient Breakdown (100 g per pouch)</t>
  </si>
  <si>
    <t>Grams (out of 100 g)</t>
  </si>
  <si>
    <t>Fruit Puree Base</t>
  </si>
  <si>
    <t>70 g</t>
  </si>
  <si>
    <t>5 g</t>
  </si>
  <si>
    <t>BCAA Microdose</t>
  </si>
  <si>
    <t>2 g</t>
  </si>
  <si>
    <t>Vitamin C</t>
  </si>
  <si>
    <t>1 g</t>
  </si>
  <si>
    <t>3 g</t>
  </si>
  <si>
    <t>15 g</t>
  </si>
  <si>
    <t>4 g</t>
  </si>
  <si>
    <t>✔ Total Ingredient Cost (100 g Go-Go Pouch)</t>
  </si>
  <si>
    <t>$1.44 per pouch</t>
  </si>
  <si>
    <t>Go-Go Squeeze (20 packs, 100 g pouch)</t>
  </si>
  <si>
    <r>
      <t xml:space="preserve">Each packet ≈ </t>
    </r>
    <r>
      <rPr>
        <b/>
        <sz val="11"/>
        <color theme="1"/>
        <rFont val="Calibri"/>
        <family val="2"/>
        <scheme val="minor"/>
      </rPr>
      <t>13.33 g</t>
    </r>
  </si>
  <si>
    <t>Packaging Components (per 30-pack)</t>
  </si>
  <si>
    <t>Packaging Component</t>
  </si>
  <si>
    <t>Units Needed</t>
  </si>
  <si>
    <t>Cost per Unit</t>
  </si>
  <si>
    <t>Total Cost</t>
  </si>
  <si>
    <t>Individual sachets (foil, 13–15 g size)</t>
  </si>
  <si>
    <t>Outer resealable pouch (standup, matte)</t>
  </si>
  <si>
    <t>Batch sticker (front)</t>
  </si>
  <si>
    <t>Batch sticker (back, nutrition label)</t>
  </si>
  <si>
    <t>Desiccant moisture pack</t>
  </si>
  <si>
    <t>Shipping carton (allocated share)</t>
  </si>
  <si>
    <t>1/10 of $1.20</t>
  </si>
  <si>
    <t>⭐ Total Packaging Cost (Powder)</t>
  </si>
  <si>
    <t>2.25+0.75+0.10+0.15+0.04+0.12=3.412.25 + 0.75 + 0.10 + 0.15 + 0.04 + 0.12 = \mathbf{3.41}2.25+0.75+0.10+0.15+0.04+0.12=3.41</t>
  </si>
  <si>
    <t>Packaging Components (per 10-stick pack)</t>
  </si>
  <si>
    <t>Stick pack tubes (film/gel-friendly)</t>
  </si>
  <si>
    <t>Outer folding carton box</t>
  </si>
  <si>
    <t>Inside tray insert</t>
  </si>
  <si>
    <t>Nutrition label (sticker)</t>
  </si>
  <si>
    <t>Flavor identifier (sticker)</t>
  </si>
  <si>
    <t>1/12 of $1.20</t>
  </si>
  <si>
    <t>⭐ Total Packaging Cost (Jelly Sticks)</t>
  </si>
  <si>
    <t>2.20+1.10+0.35+0.15+0.05+0.10=3.952.20 + 1.10 + 0.35 + 0.15 + 0.05 + 0.10 = \mathbf{3.95}2.20+1.10+0.35+0.15+0.05+0.10=3.95</t>
  </si>
  <si>
    <t>1 pouch = 100 g</t>
  </si>
  <si>
    <t>Packaging Components (per 20-pack)</t>
  </si>
  <si>
    <t>Child-safe squeeze pouch</t>
  </si>
  <si>
    <t>Tamper-evident heat seal</t>
  </si>
  <si>
    <t>Included</t>
  </si>
  <si>
    <t>—</t>
  </si>
  <si>
    <t>Outer carton carrier (20 pouches)</t>
  </si>
  <si>
    <t>Carry handle cutout reinforcement</t>
  </si>
  <si>
    <t>Nutrition panel label</t>
  </si>
  <si>
    <t>Flavor label (front brand label)</t>
  </si>
  <si>
    <t>1/8 of $1.20</t>
  </si>
  <si>
    <t>⭐ Total Packaging Cost (Go-Go Squeeze)</t>
  </si>
  <si>
    <t>6.00+1.20+0.10+0.12+0.08+0.15=7.656.00 + 1.20 + 0.10 + 0.12 + 0.08 + 0.15 = \mathbf{7.65}6.00+1.20+0.10+0.12+0.08+0.15=7.65</t>
  </si>
  <si>
    <t xml:space="preserve"> 2. JELLY STICKS — 10 STICKS × 25 g EACH = 250 g TOTAL</t>
  </si>
  <si>
    <t xml:space="preserve"> POWDER PACKETS — 30 packets (400 g total)</t>
  </si>
  <si>
    <t>JELLY STICKS — 10 sticks × 25 g (250 g)</t>
  </si>
  <si>
    <t>GO-GO SQUEEZE — 100 g pouch (Pack of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</si>
</sst>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44" fontId="0" fillId="0" borderId="0" xfId="1" applyFont="1" applyAlignment="1">
      <alignment horizontal="right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8" fontId="0" fillId="0" borderId="0" xfId="0" applyNumberFormat="1" applyAlignment="1">
      <alignment vertical="center" wrapText="1"/>
    </xf>
    <xf numFmtId="8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7" fontId="0" fillId="0" borderId="0" xfId="1" applyNumberFormat="1" applyFont="1" applyAlignment="1">
      <alignment horizontal="righ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topLeftCell="A19" workbookViewId="0">
      <selection activeCell="E25" sqref="E25"/>
    </sheetView>
  </sheetViews>
  <sheetFormatPr defaultRowHeight="14.5" x14ac:dyDescent="0.35"/>
  <cols>
    <col min="1" max="1" width="38.08984375" customWidth="1"/>
    <col min="2" max="2" width="29.7265625" customWidth="1"/>
    <col min="3" max="3" width="28.453125" customWidth="1"/>
    <col min="4" max="4" width="15.1796875" customWidth="1"/>
    <col min="5" max="5" width="24.54296875" bestFit="1" customWidth="1"/>
    <col min="6" max="6" width="23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>
        <v>13.3</v>
      </c>
      <c r="C2" s="2">
        <v>2.99</v>
      </c>
      <c r="D2" s="1">
        <f>C2*7.52</f>
        <v>22.4848</v>
      </c>
      <c r="E2" s="1">
        <v>2.99</v>
      </c>
    </row>
    <row r="3" spans="1:6" x14ac:dyDescent="0.35">
      <c r="A3" t="s">
        <v>6</v>
      </c>
      <c r="B3">
        <v>25</v>
      </c>
      <c r="C3" s="1">
        <v>4.49</v>
      </c>
      <c r="D3" s="1">
        <f>C3*4</f>
        <v>17.96</v>
      </c>
      <c r="E3" s="1">
        <v>4.49</v>
      </c>
    </row>
    <row r="4" spans="1:6" x14ac:dyDescent="0.35">
      <c r="A4" t="s">
        <v>7</v>
      </c>
      <c r="B4">
        <v>100</v>
      </c>
      <c r="C4" s="1">
        <v>3.99</v>
      </c>
      <c r="D4" s="1">
        <f>C4/1</f>
        <v>3.99</v>
      </c>
      <c r="E4" s="1">
        <v>3.99</v>
      </c>
    </row>
    <row r="6" spans="1:6" x14ac:dyDescent="0.35">
      <c r="A6" t="s">
        <v>8</v>
      </c>
    </row>
    <row r="7" spans="1:6" x14ac:dyDescent="0.3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 x14ac:dyDescent="0.35">
      <c r="A8" t="s">
        <v>34</v>
      </c>
      <c r="B8" s="1">
        <v>2.99</v>
      </c>
      <c r="C8" s="12">
        <v>1.17</v>
      </c>
      <c r="D8" s="1">
        <v>0.114</v>
      </c>
      <c r="E8" s="1">
        <v>0.35</v>
      </c>
      <c r="F8" s="1">
        <f>D8+E8+C8</f>
        <v>1.6339999999999999</v>
      </c>
    </row>
    <row r="9" spans="1:6" x14ac:dyDescent="0.35">
      <c r="A9" t="s">
        <v>15</v>
      </c>
      <c r="B9" s="1">
        <v>4.49</v>
      </c>
      <c r="C9" s="13">
        <v>1.1990000000000001</v>
      </c>
      <c r="D9" s="1">
        <v>0.39500000000000002</v>
      </c>
      <c r="E9" s="1">
        <v>0.4</v>
      </c>
      <c r="F9" s="1">
        <f>D9+E9+C9</f>
        <v>1.9940000000000002</v>
      </c>
    </row>
    <row r="10" spans="1:6" x14ac:dyDescent="0.35">
      <c r="A10" t="s">
        <v>66</v>
      </c>
      <c r="B10" s="1">
        <v>3.99</v>
      </c>
      <c r="C10" s="13">
        <v>1.44</v>
      </c>
      <c r="D10" s="1">
        <v>0.38250000000000001</v>
      </c>
      <c r="E10" s="1">
        <v>0.15</v>
      </c>
      <c r="F10" s="1">
        <f>D10+E10+C10</f>
        <v>1.9724999999999999</v>
      </c>
    </row>
    <row r="18" spans="1:5" x14ac:dyDescent="0.35">
      <c r="A18" t="s">
        <v>16</v>
      </c>
    </row>
    <row r="19" spans="1:5" x14ac:dyDescent="0.35">
      <c r="A19" s="3" t="s">
        <v>17</v>
      </c>
      <c r="B19" s="3" t="s">
        <v>18</v>
      </c>
      <c r="C19" s="3" t="s">
        <v>19</v>
      </c>
      <c r="D19" s="3" t="s">
        <v>20</v>
      </c>
      <c r="E19" s="3" t="s">
        <v>21</v>
      </c>
    </row>
    <row r="20" spans="1:5" x14ac:dyDescent="0.35">
      <c r="A20" s="4" t="s">
        <v>22</v>
      </c>
      <c r="B20" s="5">
        <v>0.36</v>
      </c>
      <c r="C20" s="6">
        <v>144</v>
      </c>
      <c r="D20" s="7">
        <v>0.12</v>
      </c>
      <c r="E20" s="8">
        <v>17.28</v>
      </c>
    </row>
    <row r="21" spans="1:5" x14ac:dyDescent="0.35">
      <c r="A21" s="4" t="s">
        <v>23</v>
      </c>
      <c r="B21" s="5">
        <v>0.09</v>
      </c>
      <c r="C21" s="6">
        <v>36</v>
      </c>
      <c r="D21" s="7">
        <v>7.0000000000000007E-2</v>
      </c>
      <c r="E21" s="8">
        <v>2.52</v>
      </c>
    </row>
    <row r="22" spans="1:5" x14ac:dyDescent="0.35">
      <c r="A22" s="4" t="s">
        <v>24</v>
      </c>
      <c r="B22" s="5">
        <v>0.18</v>
      </c>
      <c r="C22" s="6">
        <v>72</v>
      </c>
      <c r="D22" s="7">
        <v>0.06</v>
      </c>
      <c r="E22" s="8">
        <v>4.32</v>
      </c>
    </row>
    <row r="23" spans="1:5" x14ac:dyDescent="0.35">
      <c r="A23" s="4" t="s">
        <v>25</v>
      </c>
      <c r="B23" s="5">
        <v>0.1</v>
      </c>
      <c r="C23" s="6">
        <v>40</v>
      </c>
      <c r="D23" s="7">
        <v>0.04</v>
      </c>
      <c r="E23" s="8">
        <v>1.6</v>
      </c>
    </row>
    <row r="24" spans="1:5" x14ac:dyDescent="0.35">
      <c r="A24" s="4" t="s">
        <v>26</v>
      </c>
      <c r="B24" s="5">
        <v>0.04</v>
      </c>
      <c r="C24" s="6">
        <v>16</v>
      </c>
      <c r="D24" s="7">
        <v>0.2</v>
      </c>
      <c r="E24" s="8">
        <v>3.2</v>
      </c>
    </row>
    <row r="25" spans="1:5" x14ac:dyDescent="0.35">
      <c r="A25" s="4" t="s">
        <v>27</v>
      </c>
      <c r="B25" s="5">
        <v>0.05</v>
      </c>
      <c r="C25" s="6">
        <v>20</v>
      </c>
      <c r="D25" s="7">
        <v>0.25</v>
      </c>
      <c r="E25" s="8">
        <v>5</v>
      </c>
    </row>
    <row r="26" spans="1:5" x14ac:dyDescent="0.35">
      <c r="A26" s="4" t="s">
        <v>29</v>
      </c>
      <c r="B26" s="5">
        <v>0.1</v>
      </c>
      <c r="C26" s="6">
        <v>40</v>
      </c>
      <c r="D26" s="7">
        <v>0.02</v>
      </c>
      <c r="E26" s="8">
        <v>0.8</v>
      </c>
    </row>
    <row r="27" spans="1:5" x14ac:dyDescent="0.35">
      <c r="A27" s="4" t="s">
        <v>30</v>
      </c>
      <c r="B27" s="5">
        <v>0.03</v>
      </c>
      <c r="C27" s="6">
        <v>12</v>
      </c>
      <c r="D27" s="7">
        <v>0.01</v>
      </c>
      <c r="E27" s="8">
        <v>0.12</v>
      </c>
    </row>
    <row r="28" spans="1:5" x14ac:dyDescent="0.35">
      <c r="A28" s="4" t="s">
        <v>31</v>
      </c>
      <c r="B28" s="5">
        <v>0.02</v>
      </c>
      <c r="C28" s="6">
        <v>8</v>
      </c>
      <c r="D28" s="7">
        <v>0.02</v>
      </c>
      <c r="E28" s="8">
        <v>0.16</v>
      </c>
    </row>
    <row r="29" spans="1:5" x14ac:dyDescent="0.35">
      <c r="A29" s="4" t="s">
        <v>32</v>
      </c>
      <c r="B29" s="5">
        <v>0.03</v>
      </c>
      <c r="C29" s="6">
        <v>12</v>
      </c>
      <c r="D29" s="7">
        <v>0.01</v>
      </c>
      <c r="E29" s="8">
        <v>0.12</v>
      </c>
    </row>
    <row r="31" spans="1:5" ht="17.5" x14ac:dyDescent="0.35">
      <c r="A31" s="9" t="s">
        <v>33</v>
      </c>
      <c r="B31" s="5">
        <v>1</v>
      </c>
      <c r="C31">
        <f>C20+C29+C21+C28+C27+C26+C25+C24+C23+C22</f>
        <v>400</v>
      </c>
      <c r="E31">
        <v>35.119999999999997</v>
      </c>
    </row>
    <row r="33" spans="1:5" ht="31" x14ac:dyDescent="0.35">
      <c r="A33" s="10" t="s">
        <v>104</v>
      </c>
    </row>
    <row r="35" spans="1:5" ht="17.5" x14ac:dyDescent="0.35">
      <c r="A35" s="9" t="s">
        <v>35</v>
      </c>
    </row>
    <row r="37" spans="1:5" x14ac:dyDescent="0.35">
      <c r="A37" s="3" t="s">
        <v>17</v>
      </c>
      <c r="B37" s="3" t="s">
        <v>18</v>
      </c>
      <c r="C37" s="3" t="s">
        <v>36</v>
      </c>
      <c r="D37" s="3" t="s">
        <v>37</v>
      </c>
      <c r="E37" s="3" t="s">
        <v>38</v>
      </c>
    </row>
    <row r="38" spans="1:5" x14ac:dyDescent="0.35">
      <c r="A38" s="4" t="s">
        <v>39</v>
      </c>
      <c r="B38" s="5">
        <v>0.45</v>
      </c>
      <c r="C38" s="6" t="s">
        <v>40</v>
      </c>
      <c r="D38" s="7">
        <v>0.02</v>
      </c>
      <c r="E38" s="8">
        <v>2.25</v>
      </c>
    </row>
    <row r="39" spans="1:5" x14ac:dyDescent="0.35">
      <c r="A39" s="4" t="s">
        <v>41</v>
      </c>
      <c r="B39" s="5">
        <v>0.15</v>
      </c>
      <c r="C39" s="6" t="s">
        <v>42</v>
      </c>
      <c r="D39" s="7">
        <v>0.12</v>
      </c>
      <c r="E39" s="8">
        <v>4.5</v>
      </c>
    </row>
    <row r="40" spans="1:5" x14ac:dyDescent="0.35">
      <c r="A40" s="4" t="s">
        <v>23</v>
      </c>
      <c r="B40" s="5">
        <v>0.05</v>
      </c>
      <c r="C40" s="6" t="s">
        <v>43</v>
      </c>
      <c r="D40" s="7">
        <v>7.0000000000000007E-2</v>
      </c>
      <c r="E40" s="8">
        <v>0.88</v>
      </c>
    </row>
    <row r="41" spans="1:5" x14ac:dyDescent="0.35">
      <c r="A41" s="4" t="s">
        <v>44</v>
      </c>
      <c r="B41" s="5">
        <v>0.05</v>
      </c>
      <c r="C41" s="6" t="s">
        <v>43</v>
      </c>
      <c r="D41" s="7">
        <v>0.15</v>
      </c>
      <c r="E41" s="8">
        <v>1.88</v>
      </c>
    </row>
    <row r="42" spans="1:5" x14ac:dyDescent="0.35">
      <c r="A42" s="4" t="s">
        <v>45</v>
      </c>
      <c r="B42" s="5">
        <v>0.2</v>
      </c>
      <c r="C42" s="6" t="s">
        <v>46</v>
      </c>
      <c r="D42" s="7">
        <v>0.04</v>
      </c>
      <c r="E42" s="8">
        <v>2</v>
      </c>
    </row>
    <row r="43" spans="1:5" x14ac:dyDescent="0.35">
      <c r="A43" s="4" t="s">
        <v>47</v>
      </c>
      <c r="B43" s="5">
        <v>0.08</v>
      </c>
      <c r="C43" s="6" t="s">
        <v>28</v>
      </c>
      <c r="D43" s="7">
        <v>0.02</v>
      </c>
      <c r="E43" s="8">
        <v>0.4</v>
      </c>
    </row>
    <row r="44" spans="1:5" x14ac:dyDescent="0.35">
      <c r="A44" s="4" t="s">
        <v>48</v>
      </c>
      <c r="B44" s="5">
        <v>0.01</v>
      </c>
      <c r="C44" s="6" t="s">
        <v>49</v>
      </c>
      <c r="D44" s="7">
        <v>0.02</v>
      </c>
      <c r="E44" s="8">
        <v>0.05</v>
      </c>
    </row>
    <row r="45" spans="1:5" x14ac:dyDescent="0.35">
      <c r="A45" s="4" t="s">
        <v>30</v>
      </c>
      <c r="B45" s="5">
        <v>0.01</v>
      </c>
      <c r="C45" s="6" t="s">
        <v>49</v>
      </c>
      <c r="D45" s="7">
        <v>0.01</v>
      </c>
      <c r="E45" s="8">
        <v>0.03</v>
      </c>
    </row>
    <row r="47" spans="1:5" ht="17.5" x14ac:dyDescent="0.35">
      <c r="A47" s="9" t="s">
        <v>50</v>
      </c>
    </row>
    <row r="49" spans="1:5" x14ac:dyDescent="0.35">
      <c r="A49" s="11" t="s">
        <v>51</v>
      </c>
    </row>
    <row r="53" spans="1:5" ht="17.5" x14ac:dyDescent="0.35">
      <c r="A53" s="9" t="s">
        <v>52</v>
      </c>
    </row>
    <row r="55" spans="1:5" x14ac:dyDescent="0.35">
      <c r="A55" s="3" t="s">
        <v>17</v>
      </c>
      <c r="B55" s="3" t="s">
        <v>18</v>
      </c>
      <c r="C55" s="3" t="s">
        <v>53</v>
      </c>
      <c r="D55" s="3" t="s">
        <v>37</v>
      </c>
      <c r="E55" s="3" t="s">
        <v>38</v>
      </c>
    </row>
    <row r="56" spans="1:5" x14ac:dyDescent="0.35">
      <c r="A56" s="4" t="s">
        <v>54</v>
      </c>
      <c r="B56" s="5">
        <v>0.7</v>
      </c>
      <c r="C56" s="6" t="s">
        <v>55</v>
      </c>
      <c r="D56" s="7">
        <v>6.0000000000000001E-3</v>
      </c>
      <c r="E56" s="8">
        <v>0.42</v>
      </c>
    </row>
    <row r="57" spans="1:5" x14ac:dyDescent="0.35">
      <c r="A57" s="4" t="s">
        <v>23</v>
      </c>
      <c r="B57" s="5">
        <v>0.05</v>
      </c>
      <c r="C57" s="6" t="s">
        <v>56</v>
      </c>
      <c r="D57" s="7">
        <v>7.0000000000000007E-2</v>
      </c>
      <c r="E57" s="8">
        <v>0.35</v>
      </c>
    </row>
    <row r="58" spans="1:5" x14ac:dyDescent="0.35">
      <c r="A58" s="4" t="s">
        <v>57</v>
      </c>
      <c r="B58" s="5">
        <v>0.02</v>
      </c>
      <c r="C58" s="6" t="s">
        <v>58</v>
      </c>
      <c r="D58" s="7">
        <v>0.12</v>
      </c>
      <c r="E58" s="8">
        <v>0.24</v>
      </c>
    </row>
    <row r="59" spans="1:5" x14ac:dyDescent="0.35">
      <c r="A59" s="4" t="s">
        <v>59</v>
      </c>
      <c r="B59" s="5">
        <v>0.01</v>
      </c>
      <c r="C59" s="6" t="s">
        <v>60</v>
      </c>
      <c r="D59" s="7">
        <v>0.1</v>
      </c>
      <c r="E59" s="8">
        <v>0.1</v>
      </c>
    </row>
    <row r="60" spans="1:5" x14ac:dyDescent="0.35">
      <c r="A60" s="4" t="s">
        <v>29</v>
      </c>
      <c r="B60" s="5">
        <v>0.03</v>
      </c>
      <c r="C60" s="6" t="s">
        <v>61</v>
      </c>
      <c r="D60" s="7">
        <v>0.02</v>
      </c>
      <c r="E60" s="8">
        <v>0.06</v>
      </c>
    </row>
    <row r="61" spans="1:5" x14ac:dyDescent="0.35">
      <c r="A61" s="4" t="s">
        <v>47</v>
      </c>
      <c r="B61" s="5">
        <v>0.15</v>
      </c>
      <c r="C61" s="6" t="s">
        <v>62</v>
      </c>
      <c r="D61" s="7">
        <v>1.4999999999999999E-2</v>
      </c>
      <c r="E61" s="8">
        <v>0.23</v>
      </c>
    </row>
    <row r="62" spans="1:5" x14ac:dyDescent="0.35">
      <c r="A62" s="4" t="s">
        <v>30</v>
      </c>
      <c r="B62" s="5">
        <v>0.04</v>
      </c>
      <c r="C62" s="6" t="s">
        <v>63</v>
      </c>
      <c r="D62" s="7">
        <v>0.01</v>
      </c>
      <c r="E62" s="8">
        <v>0.04</v>
      </c>
    </row>
    <row r="64" spans="1:5" ht="17.5" x14ac:dyDescent="0.35">
      <c r="A64" s="9" t="s">
        <v>64</v>
      </c>
    </row>
    <row r="66" spans="1:4" x14ac:dyDescent="0.35">
      <c r="A66" s="11" t="s">
        <v>65</v>
      </c>
    </row>
    <row r="70" spans="1:4" ht="31" x14ac:dyDescent="0.35">
      <c r="A70" s="10" t="s">
        <v>105</v>
      </c>
    </row>
    <row r="72" spans="1:4" x14ac:dyDescent="0.35">
      <c r="A72" t="s">
        <v>67</v>
      </c>
    </row>
    <row r="74" spans="1:4" ht="17.5" x14ac:dyDescent="0.35">
      <c r="A74" s="9" t="s">
        <v>68</v>
      </c>
    </row>
    <row r="76" spans="1:4" x14ac:dyDescent="0.35">
      <c r="A76" s="3" t="s">
        <v>69</v>
      </c>
      <c r="B76" s="3" t="s">
        <v>70</v>
      </c>
      <c r="C76" s="3" t="s">
        <v>71</v>
      </c>
      <c r="D76" s="3" t="s">
        <v>72</v>
      </c>
    </row>
    <row r="77" spans="1:4" x14ac:dyDescent="0.35">
      <c r="A77" s="6" t="s">
        <v>73</v>
      </c>
      <c r="B77" s="4">
        <v>30</v>
      </c>
      <c r="C77" s="7">
        <v>7.4999999999999997E-2</v>
      </c>
      <c r="D77" s="8">
        <v>2.25</v>
      </c>
    </row>
    <row r="78" spans="1:4" x14ac:dyDescent="0.35">
      <c r="A78" s="6" t="s">
        <v>74</v>
      </c>
      <c r="B78" s="4">
        <v>1</v>
      </c>
      <c r="C78" s="7">
        <v>0.75</v>
      </c>
      <c r="D78" s="8">
        <v>0.75</v>
      </c>
    </row>
    <row r="79" spans="1:4" x14ac:dyDescent="0.35">
      <c r="A79" s="4" t="s">
        <v>75</v>
      </c>
      <c r="B79" s="4">
        <v>1</v>
      </c>
      <c r="C79" s="7">
        <v>0.1</v>
      </c>
      <c r="D79" s="8">
        <v>0.1</v>
      </c>
    </row>
    <row r="80" spans="1:4" x14ac:dyDescent="0.35">
      <c r="A80" s="4" t="s">
        <v>76</v>
      </c>
      <c r="B80" s="4">
        <v>1</v>
      </c>
      <c r="C80" s="7">
        <v>0.15</v>
      </c>
      <c r="D80" s="8">
        <v>0.15</v>
      </c>
    </row>
    <row r="81" spans="1:4" x14ac:dyDescent="0.35">
      <c r="A81" s="4" t="s">
        <v>77</v>
      </c>
      <c r="B81" s="4">
        <v>1</v>
      </c>
      <c r="C81" s="7">
        <v>0.04</v>
      </c>
      <c r="D81" s="8">
        <v>0.04</v>
      </c>
    </row>
    <row r="82" spans="1:4" x14ac:dyDescent="0.35">
      <c r="A82" s="4" t="s">
        <v>78</v>
      </c>
      <c r="B82" s="4" t="s">
        <v>79</v>
      </c>
      <c r="C82" s="7">
        <v>0.12</v>
      </c>
      <c r="D82" s="8">
        <v>0.12</v>
      </c>
    </row>
    <row r="84" spans="1:4" ht="17.5" x14ac:dyDescent="0.35">
      <c r="A84" s="9" t="s">
        <v>80</v>
      </c>
    </row>
    <row r="86" spans="1:4" x14ac:dyDescent="0.35">
      <c r="A86" t="s">
        <v>81</v>
      </c>
    </row>
    <row r="89" spans="1:4" ht="31" x14ac:dyDescent="0.35">
      <c r="A89" s="10" t="s">
        <v>106</v>
      </c>
    </row>
    <row r="91" spans="1:4" ht="17.5" x14ac:dyDescent="0.35">
      <c r="A91" s="9" t="s">
        <v>82</v>
      </c>
    </row>
    <row r="93" spans="1:4" x14ac:dyDescent="0.35">
      <c r="A93" s="3" t="s">
        <v>69</v>
      </c>
      <c r="B93" s="3" t="s">
        <v>70</v>
      </c>
      <c r="C93" s="3" t="s">
        <v>71</v>
      </c>
      <c r="D93" s="3" t="s">
        <v>72</v>
      </c>
    </row>
    <row r="94" spans="1:4" x14ac:dyDescent="0.35">
      <c r="A94" s="6" t="s">
        <v>83</v>
      </c>
      <c r="B94" s="4">
        <v>10</v>
      </c>
      <c r="C94" s="7">
        <v>0.22</v>
      </c>
      <c r="D94" s="8">
        <v>2.2000000000000002</v>
      </c>
    </row>
    <row r="95" spans="1:4" x14ac:dyDescent="0.35">
      <c r="A95" s="4" t="s">
        <v>84</v>
      </c>
      <c r="B95" s="4">
        <v>1</v>
      </c>
      <c r="C95" s="7">
        <v>1.1000000000000001</v>
      </c>
      <c r="D95" s="8">
        <v>1.1000000000000001</v>
      </c>
    </row>
    <row r="96" spans="1:4" x14ac:dyDescent="0.35">
      <c r="A96" s="4" t="s">
        <v>85</v>
      </c>
      <c r="B96" s="4">
        <v>1</v>
      </c>
      <c r="C96" s="7">
        <v>0.35</v>
      </c>
      <c r="D96" s="8">
        <v>0.35</v>
      </c>
    </row>
    <row r="97" spans="1:4" x14ac:dyDescent="0.35">
      <c r="A97" s="4" t="s">
        <v>86</v>
      </c>
      <c r="B97" s="4">
        <v>1</v>
      </c>
      <c r="C97" s="7">
        <v>0.15</v>
      </c>
      <c r="D97" s="8">
        <v>0.15</v>
      </c>
    </row>
    <row r="98" spans="1:4" x14ac:dyDescent="0.35">
      <c r="A98" s="4" t="s">
        <v>87</v>
      </c>
      <c r="B98" s="4">
        <v>1</v>
      </c>
      <c r="C98" s="7">
        <v>0.05</v>
      </c>
      <c r="D98" s="8">
        <v>0.05</v>
      </c>
    </row>
    <row r="99" spans="1:4" x14ac:dyDescent="0.35">
      <c r="A99" s="4" t="s">
        <v>78</v>
      </c>
      <c r="B99" s="4" t="s">
        <v>88</v>
      </c>
      <c r="C99" s="7">
        <v>0.1</v>
      </c>
      <c r="D99" s="8">
        <v>0.1</v>
      </c>
    </row>
    <row r="101" spans="1:4" ht="17.5" x14ac:dyDescent="0.35">
      <c r="A101" s="9" t="s">
        <v>89</v>
      </c>
    </row>
    <row r="103" spans="1:4" x14ac:dyDescent="0.35">
      <c r="A103" t="s">
        <v>90</v>
      </c>
    </row>
    <row r="106" spans="1:4" ht="31" x14ac:dyDescent="0.35">
      <c r="A106" s="10" t="s">
        <v>107</v>
      </c>
    </row>
    <row r="108" spans="1:4" x14ac:dyDescent="0.35">
      <c r="A108" t="s">
        <v>91</v>
      </c>
    </row>
    <row r="110" spans="1:4" ht="17.5" x14ac:dyDescent="0.35">
      <c r="A110" s="9" t="s">
        <v>92</v>
      </c>
    </row>
    <row r="112" spans="1:4" x14ac:dyDescent="0.35">
      <c r="A112" s="3" t="s">
        <v>69</v>
      </c>
      <c r="B112" s="3" t="s">
        <v>70</v>
      </c>
      <c r="C112" s="3" t="s">
        <v>71</v>
      </c>
      <c r="D112" s="3" t="s">
        <v>72</v>
      </c>
    </row>
    <row r="113" spans="1:4" x14ac:dyDescent="0.35">
      <c r="A113" s="6" t="s">
        <v>93</v>
      </c>
      <c r="B113" s="4">
        <v>20</v>
      </c>
      <c r="C113" s="7">
        <v>0.3</v>
      </c>
      <c r="D113" s="8">
        <v>6</v>
      </c>
    </row>
    <row r="114" spans="1:4" x14ac:dyDescent="0.35">
      <c r="A114" s="4" t="s">
        <v>94</v>
      </c>
      <c r="B114" s="4" t="s">
        <v>95</v>
      </c>
      <c r="C114" s="4" t="s">
        <v>96</v>
      </c>
      <c r="D114" s="8">
        <v>0</v>
      </c>
    </row>
    <row r="115" spans="1:4" x14ac:dyDescent="0.35">
      <c r="A115" s="4" t="s">
        <v>97</v>
      </c>
      <c r="B115" s="4">
        <v>1</v>
      </c>
      <c r="C115" s="7">
        <v>1.2</v>
      </c>
      <c r="D115" s="8">
        <v>1.2</v>
      </c>
    </row>
    <row r="116" spans="1:4" x14ac:dyDescent="0.35">
      <c r="A116" s="4" t="s">
        <v>98</v>
      </c>
      <c r="B116" s="4">
        <v>1</v>
      </c>
      <c r="C116" s="7">
        <v>0.1</v>
      </c>
      <c r="D116" s="8">
        <v>0.1</v>
      </c>
    </row>
    <row r="117" spans="1:4" x14ac:dyDescent="0.35">
      <c r="A117" s="4" t="s">
        <v>99</v>
      </c>
      <c r="B117" s="4">
        <v>1</v>
      </c>
      <c r="C117" s="7">
        <v>0.12</v>
      </c>
      <c r="D117" s="8">
        <v>0.12</v>
      </c>
    </row>
    <row r="118" spans="1:4" x14ac:dyDescent="0.35">
      <c r="A118" s="4" t="s">
        <v>100</v>
      </c>
      <c r="B118" s="4">
        <v>1</v>
      </c>
      <c r="C118" s="7">
        <v>0.08</v>
      </c>
      <c r="D118" s="8">
        <v>0.08</v>
      </c>
    </row>
    <row r="119" spans="1:4" x14ac:dyDescent="0.35">
      <c r="A119" s="4" t="s">
        <v>78</v>
      </c>
      <c r="B119" s="4" t="s">
        <v>101</v>
      </c>
      <c r="C119" s="7">
        <v>0.15</v>
      </c>
      <c r="D119" s="8">
        <v>0.15</v>
      </c>
    </row>
    <row r="121" spans="1:4" ht="17.5" x14ac:dyDescent="0.35">
      <c r="A121" s="9" t="s">
        <v>102</v>
      </c>
    </row>
    <row r="123" spans="1:4" x14ac:dyDescent="0.35">
      <c r="A123" t="s">
        <v>103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&amp; Cost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Mack Stewart</cp:lastModifiedBy>
  <dcterms:created xsi:type="dcterms:W3CDTF">2025-11-18T15:52:15Z</dcterms:created>
  <dcterms:modified xsi:type="dcterms:W3CDTF">2026-01-07T15:38:05Z</dcterms:modified>
</cp:coreProperties>
</file>