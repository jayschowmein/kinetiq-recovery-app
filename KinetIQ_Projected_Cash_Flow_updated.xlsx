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andrewsaurora-my.sharepoint.com/personal/jayden_leung_sac_on_ca/Documents/Desktop/12-02 School Folder/McEwen Business Leadership/"/>
    </mc:Choice>
  </mc:AlternateContent>
  <xr:revisionPtr revIDLastSave="124" documentId="11_D0D3B489D174F4DF643C0817485DCE3A87C54A00" xr6:coauthVersionLast="47" xr6:coauthVersionMax="47" xr10:uidLastSave="{E3B734F7-3339-4B34-9B3B-D7FEF8AC8747}"/>
  <bookViews>
    <workbookView xWindow="-108" yWindow="-108" windowWidth="23256" windowHeight="13896" xr2:uid="{00000000-000D-0000-FFFF-FFFF00000000}"/>
  </bookViews>
  <sheets>
    <sheet name="Projected Cash Flo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  <c r="B65" i="1"/>
  <c r="G5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8" i="1"/>
  <c r="G4" i="1"/>
  <c r="B59" i="1"/>
  <c r="F59" i="1"/>
  <c r="E59" i="1"/>
  <c r="E61" i="1" s="1"/>
  <c r="D59" i="1"/>
  <c r="D61" i="1" s="1"/>
  <c r="C59" i="1"/>
  <c r="C61" i="1" s="1"/>
  <c r="D65" i="1" l="1"/>
  <c r="B61" i="1"/>
  <c r="G59" i="1"/>
  <c r="G61" i="1" s="1"/>
  <c r="F61" i="1"/>
  <c r="E62" i="1"/>
  <c r="E63" i="1"/>
  <c r="D62" i="1"/>
  <c r="D63" i="1"/>
  <c r="C62" i="1"/>
  <c r="C63" i="1"/>
  <c r="B62" i="1"/>
  <c r="B64" i="1"/>
  <c r="C64" i="1" s="1"/>
  <c r="B63" i="1"/>
  <c r="E65" i="1" l="1"/>
  <c r="F62" i="1"/>
  <c r="G62" i="1" s="1"/>
  <c r="F63" i="1"/>
  <c r="G63" i="1" s="1"/>
  <c r="F65" i="1" l="1"/>
  <c r="G65" i="1"/>
  <c r="D64" i="1"/>
  <c r="E64" i="1" l="1"/>
  <c r="F64" i="1" l="1"/>
  <c r="G64" i="1" s="1"/>
</calcChain>
</file>

<file path=xl/sharedStrings.xml><?xml version="1.0" encoding="utf-8"?>
<sst xmlns="http://schemas.openxmlformats.org/spreadsheetml/2006/main" count="68" uniqueCount="67">
  <si>
    <t>KinetIQ Projected Cash Flow Statement</t>
  </si>
  <si>
    <t>Year 1</t>
  </si>
  <si>
    <t>Year 2</t>
  </si>
  <si>
    <t>Year 3</t>
  </si>
  <si>
    <t>Year 4</t>
  </si>
  <si>
    <t>Year 5</t>
  </si>
  <si>
    <t>Total</t>
  </si>
  <si>
    <t>Cash In</t>
  </si>
  <si>
    <t>Cash Out</t>
  </si>
  <si>
    <t>Branding &amp; Intellectual Property</t>
  </si>
  <si>
    <t>Business registration and permits</t>
  </si>
  <si>
    <t>Health Canada NHP product licence (NPN)</t>
  </si>
  <si>
    <t>Initial production &amp; inventory – raw materials and co‑packing</t>
  </si>
  <si>
    <t>Marketing launch budget</t>
  </si>
  <si>
    <t>Office equipment &amp; furniture</t>
  </si>
  <si>
    <t>Office rent deposit &amp; fit‑out</t>
  </si>
  <si>
    <t>Packaging &amp; Prototyping</t>
  </si>
  <si>
    <t>Patent application &amp; search</t>
  </si>
  <si>
    <t>Regulatory approvals &amp; testing</t>
  </si>
  <si>
    <t>Research &amp; Product Development (R&amp;D)</t>
  </si>
  <si>
    <t>Shelving &amp; storage equipment</t>
  </si>
  <si>
    <t>Trademark registration</t>
  </si>
  <si>
    <t>Website development &amp; e‑commerce setup</t>
  </si>
  <si>
    <t>Accounting &amp; bookkeeping</t>
  </si>
  <si>
    <t>Accounting &amp; payroll software</t>
  </si>
  <si>
    <t>App developer salary</t>
  </si>
  <si>
    <t>App development (one‑time)</t>
  </si>
  <si>
    <t>App maintenance</t>
  </si>
  <si>
    <t>App store developer fee</t>
  </si>
  <si>
    <t>Business &amp; liability insurance</t>
  </si>
  <si>
    <t>Business registration</t>
  </si>
  <si>
    <t>CRM software subscription</t>
  </si>
  <si>
    <t>Cloud data storage</t>
  </si>
  <si>
    <t>Computers &amp; equipment</t>
  </si>
  <si>
    <t>Consumer/user research</t>
  </si>
  <si>
    <t>Co‑packer manufacturing &amp; packaging (break‑down of initial production)</t>
  </si>
  <si>
    <t>Customer support platform</t>
  </si>
  <si>
    <t>Digital marketing &amp; advertising</t>
  </si>
  <si>
    <t>Domain registration</t>
  </si>
  <si>
    <t>Figma design software</t>
  </si>
  <si>
    <t>General business insurance</t>
  </si>
  <si>
    <t>HQ rent/co‑working space</t>
  </si>
  <si>
    <t>Health Canada right‑to‑sell fee</t>
  </si>
  <si>
    <t>Health Canada site licence (manufacturer/packer)</t>
  </si>
  <si>
    <t>Internet services</t>
  </si>
  <si>
    <t>Labour – production/operations staff</t>
  </si>
  <si>
    <t>Legal &amp; compliance</t>
  </si>
  <si>
    <t>Legal &amp; compliance (app)</t>
  </si>
  <si>
    <t>Office/warehouse rent</t>
  </si>
  <si>
    <t>Payment processing fees</t>
  </si>
  <si>
    <t>Product liability insurance</t>
  </si>
  <si>
    <t>Salaries (General)</t>
  </si>
  <si>
    <t>Servers/cloud compute</t>
  </si>
  <si>
    <t>Shipping &amp; fulfillment (pick‑and‑pack)</t>
  </si>
  <si>
    <t>Slack communication subscription</t>
  </si>
  <si>
    <t>Software subscriptions (e‑commerce &amp; tools)</t>
  </si>
  <si>
    <t>Travel &amp; events</t>
  </si>
  <si>
    <t>Utilities &amp; internet</t>
  </si>
  <si>
    <t>Web hosting</t>
  </si>
  <si>
    <t>Total Costs</t>
  </si>
  <si>
    <t>Net Cash</t>
  </si>
  <si>
    <t>Yearly Surplus</t>
  </si>
  <si>
    <t>Yearly Deficit</t>
  </si>
  <si>
    <r>
      <t xml:space="preserve">Estimated revenue </t>
    </r>
    <r>
      <rPr>
        <sz val="11"/>
        <color rgb="FFFF0000"/>
        <rFont val="Calibri"/>
        <family val="2"/>
        <scheme val="minor"/>
      </rPr>
      <t>(UPSIDE CASE)</t>
    </r>
  </si>
  <si>
    <r>
      <t xml:space="preserve">Estimated revenue </t>
    </r>
    <r>
      <rPr>
        <sz val="11"/>
        <color rgb="FFFF0000"/>
        <rFont val="Calibri"/>
        <family val="2"/>
        <scheme val="minor"/>
      </rPr>
      <t>(BASE CASE)</t>
    </r>
  </si>
  <si>
    <r>
      <t xml:space="preserve">Cumulative </t>
    </r>
    <r>
      <rPr>
        <b/>
        <sz val="11"/>
        <color rgb="FFFF0000"/>
        <rFont val="Calibri"/>
        <family val="2"/>
      </rPr>
      <t>(BASE CASE)</t>
    </r>
  </si>
  <si>
    <r>
      <t xml:space="preserve">Cumulative </t>
    </r>
    <r>
      <rPr>
        <b/>
        <sz val="11"/>
        <color rgb="FFFF0000"/>
        <rFont val="Calibri"/>
        <family val="2"/>
      </rPr>
      <t>(UPSIDE CASE)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</si>
</sst>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5" fontId="2" fillId="0" borderId="3" xfId="0" applyNumberFormat="1" applyFont="1" applyBorder="1"/>
    <xf numFmtId="165" fontId="2" fillId="0" borderId="2" xfId="0" applyNumberFormat="1" applyFont="1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165" fontId="3" fillId="0" borderId="2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48" workbookViewId="0">
      <selection activeCell="F65" sqref="F65"/>
    </sheetView>
  </sheetViews>
  <sheetFormatPr defaultRowHeight="14.4" x14ac:dyDescent="0.3"/>
  <cols>
    <col min="1" max="1" width="40" customWidth="1"/>
    <col min="2" max="7" width="20" customWidth="1"/>
  </cols>
  <sheetData>
    <row r="1" spans="1:7" ht="21" x14ac:dyDescent="0.3">
      <c r="A1" s="11" t="s">
        <v>0</v>
      </c>
      <c r="B1" s="12"/>
      <c r="C1" s="12"/>
      <c r="D1" s="12"/>
      <c r="E1" s="12"/>
      <c r="F1" s="12"/>
      <c r="G1" s="12"/>
    </row>
    <row r="2" spans="1:7" x14ac:dyDescent="0.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2" t="s">
        <v>7</v>
      </c>
      <c r="B3" s="3"/>
      <c r="C3" s="3"/>
      <c r="D3" s="3"/>
      <c r="E3" s="3"/>
      <c r="F3" s="3"/>
      <c r="G3" s="3"/>
    </row>
    <row r="4" spans="1:7" x14ac:dyDescent="0.3">
      <c r="A4" s="3" t="s">
        <v>64</v>
      </c>
      <c r="B4" s="4">
        <v>446785</v>
      </c>
      <c r="C4" s="4">
        <v>558481</v>
      </c>
      <c r="D4" s="4">
        <v>698101</v>
      </c>
      <c r="E4" s="4">
        <v>872626</v>
      </c>
      <c r="F4" s="4">
        <v>1090783</v>
      </c>
      <c r="G4" s="9">
        <f>SUM(B4:F4)</f>
        <v>3666776</v>
      </c>
    </row>
    <row r="5" spans="1:7" x14ac:dyDescent="0.3">
      <c r="A5" s="3" t="s">
        <v>63</v>
      </c>
      <c r="B5" s="4">
        <v>446785</v>
      </c>
      <c r="C5" s="4">
        <v>580821</v>
      </c>
      <c r="D5" s="4">
        <v>755067</v>
      </c>
      <c r="E5" s="4">
        <v>981587</v>
      </c>
      <c r="F5" s="4">
        <v>1276063</v>
      </c>
      <c r="G5" s="9">
        <f>SUM(B5:F5)</f>
        <v>4040323</v>
      </c>
    </row>
    <row r="6" spans="1:7" x14ac:dyDescent="0.3">
      <c r="A6" s="3"/>
      <c r="B6" s="3"/>
      <c r="C6" s="4"/>
      <c r="D6" s="4"/>
      <c r="E6" s="4"/>
      <c r="F6" s="4"/>
      <c r="G6" s="3"/>
    </row>
    <row r="7" spans="1:7" x14ac:dyDescent="0.3">
      <c r="A7" s="2" t="s">
        <v>8</v>
      </c>
      <c r="B7" s="3"/>
      <c r="C7" s="3"/>
      <c r="D7" s="3"/>
      <c r="E7" s="3"/>
      <c r="F7" s="3"/>
      <c r="G7" s="3"/>
    </row>
    <row r="8" spans="1:7" x14ac:dyDescent="0.3">
      <c r="A8" s="3" t="s">
        <v>9</v>
      </c>
      <c r="B8" s="5">
        <v>15000</v>
      </c>
      <c r="C8" s="5">
        <v>0</v>
      </c>
      <c r="D8" s="5">
        <v>0</v>
      </c>
      <c r="E8" s="5">
        <v>0</v>
      </c>
      <c r="F8" s="5">
        <v>0</v>
      </c>
      <c r="G8" s="5">
        <f>SUM(B8:F8)</f>
        <v>15000</v>
      </c>
    </row>
    <row r="9" spans="1:7" x14ac:dyDescent="0.3">
      <c r="A9" s="3" t="s">
        <v>10</v>
      </c>
      <c r="B9" s="5">
        <v>134</v>
      </c>
      <c r="C9" s="5">
        <v>0</v>
      </c>
      <c r="D9" s="5">
        <v>0</v>
      </c>
      <c r="E9" s="5">
        <v>0</v>
      </c>
      <c r="F9" s="5">
        <v>0</v>
      </c>
      <c r="G9" s="5">
        <f t="shared" ref="G9:G59" si="0">SUM(B9:F9)</f>
        <v>134</v>
      </c>
    </row>
    <row r="10" spans="1:7" x14ac:dyDescent="0.3">
      <c r="A10" s="3" t="s">
        <v>11</v>
      </c>
      <c r="B10" s="5">
        <v>21600</v>
      </c>
      <c r="C10" s="5">
        <v>0</v>
      </c>
      <c r="D10" s="5">
        <v>0</v>
      </c>
      <c r="E10" s="5">
        <v>0</v>
      </c>
      <c r="F10" s="5">
        <v>0</v>
      </c>
      <c r="G10" s="5">
        <f t="shared" si="0"/>
        <v>21600</v>
      </c>
    </row>
    <row r="11" spans="1:7" x14ac:dyDescent="0.3">
      <c r="A11" s="3" t="s">
        <v>12</v>
      </c>
      <c r="B11" s="5">
        <v>49950</v>
      </c>
      <c r="C11" s="5">
        <v>0</v>
      </c>
      <c r="D11" s="5">
        <v>0</v>
      </c>
      <c r="E11" s="5">
        <v>0</v>
      </c>
      <c r="F11" s="5">
        <v>0</v>
      </c>
      <c r="G11" s="5">
        <f t="shared" si="0"/>
        <v>49950</v>
      </c>
    </row>
    <row r="12" spans="1:7" x14ac:dyDescent="0.3">
      <c r="A12" s="3" t="s">
        <v>13</v>
      </c>
      <c r="B12" s="5">
        <v>30000</v>
      </c>
      <c r="C12" s="5">
        <v>0</v>
      </c>
      <c r="D12" s="5">
        <v>0</v>
      </c>
      <c r="E12" s="5">
        <v>0</v>
      </c>
      <c r="F12" s="5">
        <v>0</v>
      </c>
      <c r="G12" s="5">
        <f t="shared" si="0"/>
        <v>30000</v>
      </c>
    </row>
    <row r="13" spans="1:7" x14ac:dyDescent="0.3">
      <c r="A13" s="3" t="s">
        <v>14</v>
      </c>
      <c r="B13" s="5">
        <v>2000</v>
      </c>
      <c r="C13" s="5">
        <v>0</v>
      </c>
      <c r="D13" s="5">
        <v>0</v>
      </c>
      <c r="E13" s="5">
        <v>0</v>
      </c>
      <c r="F13" s="5">
        <v>0</v>
      </c>
      <c r="G13" s="5">
        <f t="shared" si="0"/>
        <v>2000</v>
      </c>
    </row>
    <row r="14" spans="1:7" x14ac:dyDescent="0.3">
      <c r="A14" s="3" t="s">
        <v>15</v>
      </c>
      <c r="B14" s="5">
        <v>1740</v>
      </c>
      <c r="C14" s="5">
        <v>0</v>
      </c>
      <c r="D14" s="5">
        <v>0</v>
      </c>
      <c r="E14" s="5">
        <v>0</v>
      </c>
      <c r="F14" s="5">
        <v>0</v>
      </c>
      <c r="G14" s="5">
        <f t="shared" si="0"/>
        <v>1740</v>
      </c>
    </row>
    <row r="15" spans="1:7" x14ac:dyDescent="0.3">
      <c r="A15" s="3" t="s">
        <v>16</v>
      </c>
      <c r="B15" s="5">
        <v>20000</v>
      </c>
      <c r="C15" s="5">
        <v>0</v>
      </c>
      <c r="D15" s="5">
        <v>0</v>
      </c>
      <c r="E15" s="5">
        <v>0</v>
      </c>
      <c r="F15" s="5">
        <v>0</v>
      </c>
      <c r="G15" s="5">
        <f t="shared" si="0"/>
        <v>20000</v>
      </c>
    </row>
    <row r="16" spans="1:7" x14ac:dyDescent="0.3">
      <c r="A16" s="3" t="s">
        <v>17</v>
      </c>
      <c r="B16" s="5">
        <v>21600</v>
      </c>
      <c r="C16" s="5">
        <v>0</v>
      </c>
      <c r="D16" s="5">
        <v>0</v>
      </c>
      <c r="E16" s="5">
        <v>0</v>
      </c>
      <c r="F16" s="5">
        <v>0</v>
      </c>
      <c r="G16" s="5">
        <f t="shared" si="0"/>
        <v>21600</v>
      </c>
    </row>
    <row r="17" spans="1:7" x14ac:dyDescent="0.3">
      <c r="A17" s="3" t="s">
        <v>18</v>
      </c>
      <c r="B17" s="5">
        <v>10000</v>
      </c>
      <c r="C17" s="5">
        <v>0</v>
      </c>
      <c r="D17" s="5">
        <v>0</v>
      </c>
      <c r="E17" s="5">
        <v>0</v>
      </c>
      <c r="F17" s="5">
        <v>0</v>
      </c>
      <c r="G17" s="5">
        <f t="shared" si="0"/>
        <v>10000</v>
      </c>
    </row>
    <row r="18" spans="1:7" x14ac:dyDescent="0.3">
      <c r="A18" s="3" t="s">
        <v>19</v>
      </c>
      <c r="B18" s="5">
        <v>25000</v>
      </c>
      <c r="C18" s="5">
        <v>0</v>
      </c>
      <c r="D18" s="5">
        <v>0</v>
      </c>
      <c r="E18" s="5">
        <v>0</v>
      </c>
      <c r="F18" s="5">
        <v>0</v>
      </c>
      <c r="G18" s="5">
        <f t="shared" si="0"/>
        <v>25000</v>
      </c>
    </row>
    <row r="19" spans="1:7" x14ac:dyDescent="0.3">
      <c r="A19" s="3" t="s">
        <v>20</v>
      </c>
      <c r="B19" s="5">
        <v>8325</v>
      </c>
      <c r="C19" s="5">
        <v>0</v>
      </c>
      <c r="D19" s="5">
        <v>0</v>
      </c>
      <c r="E19" s="5">
        <v>0</v>
      </c>
      <c r="F19" s="5">
        <v>0</v>
      </c>
      <c r="G19" s="5">
        <f t="shared" si="0"/>
        <v>8325</v>
      </c>
    </row>
    <row r="20" spans="1:7" x14ac:dyDescent="0.3">
      <c r="A20" s="3" t="s">
        <v>21</v>
      </c>
      <c r="B20" s="5">
        <v>330</v>
      </c>
      <c r="C20" s="5">
        <v>0</v>
      </c>
      <c r="D20" s="5">
        <v>0</v>
      </c>
      <c r="E20" s="5">
        <v>0</v>
      </c>
      <c r="F20" s="5">
        <v>0</v>
      </c>
      <c r="G20" s="5">
        <f t="shared" si="0"/>
        <v>330</v>
      </c>
    </row>
    <row r="21" spans="1:7" x14ac:dyDescent="0.3">
      <c r="A21" s="3" t="s">
        <v>22</v>
      </c>
      <c r="B21" s="5">
        <v>5000</v>
      </c>
      <c r="C21" s="5">
        <v>0</v>
      </c>
      <c r="D21" s="5">
        <v>0</v>
      </c>
      <c r="E21" s="5">
        <v>0</v>
      </c>
      <c r="F21" s="5">
        <v>0</v>
      </c>
      <c r="G21" s="5">
        <f t="shared" si="0"/>
        <v>5000</v>
      </c>
    </row>
    <row r="22" spans="1:7" x14ac:dyDescent="0.3">
      <c r="A22" s="3" t="s">
        <v>23</v>
      </c>
      <c r="B22" s="5">
        <v>2000</v>
      </c>
      <c r="C22" s="5">
        <v>2000</v>
      </c>
      <c r="D22" s="5">
        <v>2000</v>
      </c>
      <c r="E22" s="5">
        <v>2000</v>
      </c>
      <c r="F22" s="5">
        <v>2000</v>
      </c>
      <c r="G22" s="5">
        <f t="shared" si="0"/>
        <v>10000</v>
      </c>
    </row>
    <row r="23" spans="1:7" x14ac:dyDescent="0.3">
      <c r="A23" s="3" t="s">
        <v>24</v>
      </c>
      <c r="B23" s="5">
        <v>900</v>
      </c>
      <c r="C23" s="5">
        <v>900</v>
      </c>
      <c r="D23" s="5">
        <v>900</v>
      </c>
      <c r="E23" s="5">
        <v>900</v>
      </c>
      <c r="F23" s="5">
        <v>900</v>
      </c>
      <c r="G23" s="5">
        <f t="shared" si="0"/>
        <v>4500</v>
      </c>
    </row>
    <row r="24" spans="1:7" x14ac:dyDescent="0.3">
      <c r="A24" s="3" t="s">
        <v>25</v>
      </c>
      <c r="B24" s="5">
        <v>90000</v>
      </c>
      <c r="C24" s="5">
        <v>90000</v>
      </c>
      <c r="D24" s="5">
        <v>90000</v>
      </c>
      <c r="E24" s="5">
        <v>90000</v>
      </c>
      <c r="F24" s="5">
        <v>90000</v>
      </c>
      <c r="G24" s="5">
        <f t="shared" si="0"/>
        <v>450000</v>
      </c>
    </row>
    <row r="25" spans="1:7" x14ac:dyDescent="0.3">
      <c r="A25" s="3" t="s">
        <v>26</v>
      </c>
      <c r="B25" s="5">
        <v>80000</v>
      </c>
      <c r="C25" s="5">
        <v>80000</v>
      </c>
      <c r="D25" s="5">
        <v>80000</v>
      </c>
      <c r="E25" s="5">
        <v>80000</v>
      </c>
      <c r="F25" s="5">
        <v>80000</v>
      </c>
      <c r="G25" s="5">
        <f t="shared" si="0"/>
        <v>400000</v>
      </c>
    </row>
    <row r="26" spans="1:7" x14ac:dyDescent="0.3">
      <c r="A26" s="3" t="s">
        <v>27</v>
      </c>
      <c r="B26" s="5">
        <v>7500</v>
      </c>
      <c r="C26" s="5">
        <v>7500</v>
      </c>
      <c r="D26" s="5">
        <v>7500</v>
      </c>
      <c r="E26" s="5">
        <v>7500</v>
      </c>
      <c r="F26" s="5">
        <v>7500</v>
      </c>
      <c r="G26" s="5">
        <f t="shared" si="0"/>
        <v>37500</v>
      </c>
    </row>
    <row r="27" spans="1:7" x14ac:dyDescent="0.3">
      <c r="A27" s="3" t="s">
        <v>28</v>
      </c>
      <c r="B27" s="5">
        <v>99</v>
      </c>
      <c r="C27" s="5">
        <v>99</v>
      </c>
      <c r="D27" s="5">
        <v>99</v>
      </c>
      <c r="E27" s="5">
        <v>99</v>
      </c>
      <c r="F27" s="5">
        <v>99</v>
      </c>
      <c r="G27" s="5">
        <f t="shared" si="0"/>
        <v>495</v>
      </c>
    </row>
    <row r="28" spans="1:7" x14ac:dyDescent="0.3">
      <c r="A28" s="3" t="s">
        <v>29</v>
      </c>
      <c r="B28" s="5">
        <v>800</v>
      </c>
      <c r="C28" s="5">
        <v>800</v>
      </c>
      <c r="D28" s="5">
        <v>800</v>
      </c>
      <c r="E28" s="5">
        <v>800</v>
      </c>
      <c r="F28" s="5">
        <v>800</v>
      </c>
      <c r="G28" s="5">
        <f t="shared" si="0"/>
        <v>4000</v>
      </c>
    </row>
    <row r="29" spans="1:7" x14ac:dyDescent="0.3">
      <c r="A29" s="3" t="s">
        <v>30</v>
      </c>
      <c r="B29" s="5">
        <v>360</v>
      </c>
      <c r="C29" s="5">
        <v>360</v>
      </c>
      <c r="D29" s="5">
        <v>360</v>
      </c>
      <c r="E29" s="5">
        <v>360</v>
      </c>
      <c r="F29" s="5">
        <v>360</v>
      </c>
      <c r="G29" s="5">
        <f t="shared" si="0"/>
        <v>1800</v>
      </c>
    </row>
    <row r="30" spans="1:7" x14ac:dyDescent="0.3">
      <c r="A30" s="3" t="s">
        <v>31</v>
      </c>
      <c r="B30" s="5">
        <v>540</v>
      </c>
      <c r="C30" s="5">
        <v>540</v>
      </c>
      <c r="D30" s="5">
        <v>540</v>
      </c>
      <c r="E30" s="5">
        <v>540</v>
      </c>
      <c r="F30" s="5">
        <v>540</v>
      </c>
      <c r="G30" s="5">
        <f t="shared" si="0"/>
        <v>2700</v>
      </c>
    </row>
    <row r="31" spans="1:7" x14ac:dyDescent="0.3">
      <c r="A31" s="3" t="s">
        <v>32</v>
      </c>
      <c r="B31" s="5">
        <v>300</v>
      </c>
      <c r="C31" s="5">
        <v>300</v>
      </c>
      <c r="D31" s="5">
        <v>300</v>
      </c>
      <c r="E31" s="5">
        <v>300</v>
      </c>
      <c r="F31" s="5">
        <v>300</v>
      </c>
      <c r="G31" s="5">
        <f t="shared" si="0"/>
        <v>1500</v>
      </c>
    </row>
    <row r="32" spans="1:7" x14ac:dyDescent="0.3">
      <c r="A32" s="3" t="s">
        <v>33</v>
      </c>
      <c r="B32" s="5">
        <v>4000</v>
      </c>
      <c r="C32" s="5">
        <v>4000</v>
      </c>
      <c r="D32" s="5">
        <v>4000</v>
      </c>
      <c r="E32" s="5">
        <v>4000</v>
      </c>
      <c r="F32" s="5">
        <v>4000</v>
      </c>
      <c r="G32" s="5">
        <f t="shared" si="0"/>
        <v>20000</v>
      </c>
    </row>
    <row r="33" spans="1:7" x14ac:dyDescent="0.3">
      <c r="A33" s="3" t="s">
        <v>34</v>
      </c>
      <c r="B33" s="5">
        <v>10000</v>
      </c>
      <c r="C33" s="5">
        <v>10000</v>
      </c>
      <c r="D33" s="5">
        <v>10000</v>
      </c>
      <c r="E33" s="5">
        <v>10000</v>
      </c>
      <c r="F33" s="5">
        <v>10000</v>
      </c>
      <c r="G33" s="5">
        <f t="shared" si="0"/>
        <v>50000</v>
      </c>
    </row>
    <row r="34" spans="1:7" x14ac:dyDescent="0.3">
      <c r="A34" s="3" t="s">
        <v>35</v>
      </c>
      <c r="B34" s="5">
        <v>30000</v>
      </c>
      <c r="C34" s="5">
        <v>30000</v>
      </c>
      <c r="D34" s="5">
        <v>30000</v>
      </c>
      <c r="E34" s="5">
        <v>30000</v>
      </c>
      <c r="F34" s="5">
        <v>30000</v>
      </c>
      <c r="G34" s="5">
        <f t="shared" si="0"/>
        <v>150000</v>
      </c>
    </row>
    <row r="35" spans="1:7" x14ac:dyDescent="0.3">
      <c r="A35" s="3" t="s">
        <v>36</v>
      </c>
      <c r="B35" s="5">
        <v>696</v>
      </c>
      <c r="C35" s="5">
        <v>696</v>
      </c>
      <c r="D35" s="5">
        <v>696</v>
      </c>
      <c r="E35" s="5">
        <v>696</v>
      </c>
      <c r="F35" s="5">
        <v>696</v>
      </c>
      <c r="G35" s="5">
        <f t="shared" si="0"/>
        <v>3480</v>
      </c>
    </row>
    <row r="36" spans="1:7" x14ac:dyDescent="0.3">
      <c r="A36" s="3" t="s">
        <v>37</v>
      </c>
      <c r="B36" s="5">
        <v>66000</v>
      </c>
      <c r="C36" s="5">
        <v>66000</v>
      </c>
      <c r="D36" s="5">
        <v>66000</v>
      </c>
      <c r="E36" s="5">
        <v>66000</v>
      </c>
      <c r="F36" s="5">
        <v>66000</v>
      </c>
      <c r="G36" s="5">
        <f t="shared" si="0"/>
        <v>330000</v>
      </c>
    </row>
    <row r="37" spans="1:7" x14ac:dyDescent="0.3">
      <c r="A37" s="3" t="s">
        <v>38</v>
      </c>
      <c r="B37" s="5">
        <v>20</v>
      </c>
      <c r="C37" s="5">
        <v>20</v>
      </c>
      <c r="D37" s="5">
        <v>20</v>
      </c>
      <c r="E37" s="5">
        <v>20</v>
      </c>
      <c r="F37" s="5">
        <v>20</v>
      </c>
      <c r="G37" s="5">
        <f t="shared" si="0"/>
        <v>100</v>
      </c>
    </row>
    <row r="38" spans="1:7" x14ac:dyDescent="0.3">
      <c r="A38" s="3" t="s">
        <v>39</v>
      </c>
      <c r="B38" s="5">
        <v>288</v>
      </c>
      <c r="C38" s="5">
        <v>288</v>
      </c>
      <c r="D38" s="5">
        <v>288</v>
      </c>
      <c r="E38" s="5">
        <v>288</v>
      </c>
      <c r="F38" s="5">
        <v>288</v>
      </c>
      <c r="G38" s="5">
        <f t="shared" si="0"/>
        <v>1440</v>
      </c>
    </row>
    <row r="39" spans="1:7" x14ac:dyDescent="0.3">
      <c r="A39" s="3" t="s">
        <v>40</v>
      </c>
      <c r="B39" s="5">
        <v>450</v>
      </c>
      <c r="C39" s="5">
        <v>450</v>
      </c>
      <c r="D39" s="5">
        <v>450</v>
      </c>
      <c r="E39" s="5">
        <v>450</v>
      </c>
      <c r="F39" s="5">
        <v>450</v>
      </c>
      <c r="G39" s="5">
        <f t="shared" si="0"/>
        <v>2250</v>
      </c>
    </row>
    <row r="40" spans="1:7" x14ac:dyDescent="0.3">
      <c r="A40" s="3" t="s">
        <v>41</v>
      </c>
      <c r="B40" s="5">
        <v>10200</v>
      </c>
      <c r="C40" s="5">
        <v>10200</v>
      </c>
      <c r="D40" s="5">
        <v>10200</v>
      </c>
      <c r="E40" s="5">
        <v>10200</v>
      </c>
      <c r="F40" s="5">
        <v>10200</v>
      </c>
      <c r="G40" s="5">
        <f t="shared" si="0"/>
        <v>51000</v>
      </c>
    </row>
    <row r="41" spans="1:7" x14ac:dyDescent="0.3">
      <c r="A41" s="3" t="s">
        <v>42</v>
      </c>
      <c r="B41" s="5">
        <v>1626</v>
      </c>
      <c r="C41" s="5">
        <v>1626</v>
      </c>
      <c r="D41" s="5">
        <v>1626</v>
      </c>
      <c r="E41" s="5">
        <v>1626</v>
      </c>
      <c r="F41" s="5">
        <v>1626</v>
      </c>
      <c r="G41" s="5">
        <f t="shared" si="0"/>
        <v>8130</v>
      </c>
    </row>
    <row r="42" spans="1:7" x14ac:dyDescent="0.3">
      <c r="A42" s="3" t="s">
        <v>43</v>
      </c>
      <c r="B42" s="5">
        <v>23000</v>
      </c>
      <c r="C42" s="5">
        <v>23000</v>
      </c>
      <c r="D42" s="5">
        <v>23000</v>
      </c>
      <c r="E42" s="5">
        <v>23000</v>
      </c>
      <c r="F42" s="5">
        <v>23000</v>
      </c>
      <c r="G42" s="5">
        <f t="shared" si="0"/>
        <v>115000</v>
      </c>
    </row>
    <row r="43" spans="1:7" x14ac:dyDescent="0.3">
      <c r="A43" s="3" t="s">
        <v>44</v>
      </c>
      <c r="B43" s="5">
        <v>2400</v>
      </c>
      <c r="C43" s="5">
        <v>2400</v>
      </c>
      <c r="D43" s="5">
        <v>2400</v>
      </c>
      <c r="E43" s="5">
        <v>2400</v>
      </c>
      <c r="F43" s="5">
        <v>2400</v>
      </c>
      <c r="G43" s="5">
        <f t="shared" si="0"/>
        <v>12000</v>
      </c>
    </row>
    <row r="44" spans="1:7" x14ac:dyDescent="0.3">
      <c r="A44" s="3" t="s">
        <v>45</v>
      </c>
      <c r="B44" s="5">
        <v>19584</v>
      </c>
      <c r="C44" s="5">
        <v>19584</v>
      </c>
      <c r="D44" s="5">
        <v>19584</v>
      </c>
      <c r="E44" s="5">
        <v>19584</v>
      </c>
      <c r="F44" s="5">
        <v>19584</v>
      </c>
      <c r="G44" s="5">
        <f t="shared" si="0"/>
        <v>97920</v>
      </c>
    </row>
    <row r="45" spans="1:7" x14ac:dyDescent="0.3">
      <c r="A45" s="3" t="s">
        <v>46</v>
      </c>
      <c r="B45" s="5">
        <v>2500</v>
      </c>
      <c r="C45" s="5">
        <v>2500</v>
      </c>
      <c r="D45" s="5">
        <v>2500</v>
      </c>
      <c r="E45" s="5">
        <v>2500</v>
      </c>
      <c r="F45" s="5">
        <v>2500</v>
      </c>
      <c r="G45" s="5">
        <f t="shared" si="0"/>
        <v>12500</v>
      </c>
    </row>
    <row r="46" spans="1:7" x14ac:dyDescent="0.3">
      <c r="A46" s="3" t="s">
        <v>47</v>
      </c>
      <c r="B46" s="5">
        <v>12000</v>
      </c>
      <c r="C46" s="5">
        <v>12000</v>
      </c>
      <c r="D46" s="5">
        <v>12000</v>
      </c>
      <c r="E46" s="5">
        <v>12000</v>
      </c>
      <c r="F46" s="5">
        <v>12000</v>
      </c>
      <c r="G46" s="5">
        <f t="shared" si="0"/>
        <v>60000</v>
      </c>
    </row>
    <row r="47" spans="1:7" x14ac:dyDescent="0.3">
      <c r="A47" s="3" t="s">
        <v>48</v>
      </c>
      <c r="B47" s="5">
        <v>10419.959999999999</v>
      </c>
      <c r="C47" s="5">
        <v>10419.959999999999</v>
      </c>
      <c r="D47" s="5">
        <v>10419.959999999999</v>
      </c>
      <c r="E47" s="5">
        <v>10419.959999999999</v>
      </c>
      <c r="F47" s="5">
        <v>10419.959999999999</v>
      </c>
      <c r="G47" s="5">
        <f t="shared" si="0"/>
        <v>52099.799999999996</v>
      </c>
    </row>
    <row r="48" spans="1:7" x14ac:dyDescent="0.3">
      <c r="A48" s="3" t="s">
        <v>49</v>
      </c>
      <c r="B48" s="5">
        <v>1000</v>
      </c>
      <c r="C48" s="5">
        <v>1000</v>
      </c>
      <c r="D48" s="5">
        <v>1000</v>
      </c>
      <c r="E48" s="5">
        <v>1000</v>
      </c>
      <c r="F48" s="5">
        <v>1000</v>
      </c>
      <c r="G48" s="5">
        <f t="shared" si="0"/>
        <v>5000</v>
      </c>
    </row>
    <row r="49" spans="1:7" x14ac:dyDescent="0.3">
      <c r="A49" s="3" t="s">
        <v>50</v>
      </c>
      <c r="B49" s="5">
        <v>1191.96</v>
      </c>
      <c r="C49" s="5">
        <v>1191.96</v>
      </c>
      <c r="D49" s="5">
        <v>1191.96</v>
      </c>
      <c r="E49" s="5">
        <v>1191.96</v>
      </c>
      <c r="F49" s="5">
        <v>1191.96</v>
      </c>
      <c r="G49" s="5">
        <f t="shared" si="0"/>
        <v>5959.8</v>
      </c>
    </row>
    <row r="50" spans="1:7" x14ac:dyDescent="0.3">
      <c r="A50" s="3" t="s">
        <v>51</v>
      </c>
      <c r="B50" s="5">
        <v>150000</v>
      </c>
      <c r="C50" s="5">
        <v>150000</v>
      </c>
      <c r="D50" s="5">
        <v>150000</v>
      </c>
      <c r="E50" s="5">
        <v>150000</v>
      </c>
      <c r="F50" s="5">
        <v>150000</v>
      </c>
      <c r="G50" s="5">
        <f t="shared" si="0"/>
        <v>750000</v>
      </c>
    </row>
    <row r="51" spans="1:7" x14ac:dyDescent="0.3">
      <c r="A51" s="3" t="s">
        <v>52</v>
      </c>
      <c r="B51" s="5">
        <v>5000</v>
      </c>
      <c r="C51" s="5">
        <v>5000</v>
      </c>
      <c r="D51" s="5">
        <v>5000</v>
      </c>
      <c r="E51" s="5">
        <v>5000</v>
      </c>
      <c r="F51" s="5">
        <v>5000</v>
      </c>
      <c r="G51" s="5">
        <f t="shared" si="0"/>
        <v>25000</v>
      </c>
    </row>
    <row r="52" spans="1:7" x14ac:dyDescent="0.3">
      <c r="A52" s="3" t="s">
        <v>53</v>
      </c>
      <c r="B52" s="5">
        <v>38160</v>
      </c>
      <c r="C52" s="5">
        <v>38160</v>
      </c>
      <c r="D52" s="5">
        <v>38160</v>
      </c>
      <c r="E52" s="5">
        <v>38160</v>
      </c>
      <c r="F52" s="5">
        <v>38160</v>
      </c>
      <c r="G52" s="5">
        <f t="shared" si="0"/>
        <v>190800</v>
      </c>
    </row>
    <row r="53" spans="1:7" x14ac:dyDescent="0.3">
      <c r="A53" s="3" t="s">
        <v>54</v>
      </c>
      <c r="B53" s="5">
        <v>348</v>
      </c>
      <c r="C53" s="5">
        <v>348</v>
      </c>
      <c r="D53" s="5">
        <v>348</v>
      </c>
      <c r="E53" s="5">
        <v>348</v>
      </c>
      <c r="F53" s="5">
        <v>348</v>
      </c>
      <c r="G53" s="5">
        <f t="shared" si="0"/>
        <v>1740</v>
      </c>
    </row>
    <row r="54" spans="1:7" x14ac:dyDescent="0.3">
      <c r="A54" s="3" t="s">
        <v>55</v>
      </c>
      <c r="B54" s="5">
        <v>1800</v>
      </c>
      <c r="C54" s="5">
        <v>1800</v>
      </c>
      <c r="D54" s="5">
        <v>1800</v>
      </c>
      <c r="E54" s="5">
        <v>1800</v>
      </c>
      <c r="F54" s="5">
        <v>1800</v>
      </c>
      <c r="G54" s="5">
        <f t="shared" si="0"/>
        <v>9000</v>
      </c>
    </row>
    <row r="55" spans="1:7" x14ac:dyDescent="0.3">
      <c r="A55" s="3" t="s">
        <v>21</v>
      </c>
      <c r="B55" s="5">
        <v>2500</v>
      </c>
      <c r="C55" s="5">
        <v>2500</v>
      </c>
      <c r="D55" s="5">
        <v>2500</v>
      </c>
      <c r="E55" s="5">
        <v>2500</v>
      </c>
      <c r="F55" s="5">
        <v>2500</v>
      </c>
      <c r="G55" s="5">
        <f t="shared" si="0"/>
        <v>12500</v>
      </c>
    </row>
    <row r="56" spans="1:7" x14ac:dyDescent="0.3">
      <c r="A56" s="3" t="s">
        <v>56</v>
      </c>
      <c r="B56" s="5">
        <v>3000</v>
      </c>
      <c r="C56" s="5">
        <v>3000</v>
      </c>
      <c r="D56" s="5">
        <v>3000</v>
      </c>
      <c r="E56" s="5">
        <v>3000</v>
      </c>
      <c r="F56" s="5">
        <v>3000</v>
      </c>
      <c r="G56" s="5">
        <f t="shared" si="0"/>
        <v>15000</v>
      </c>
    </row>
    <row r="57" spans="1:7" x14ac:dyDescent="0.3">
      <c r="A57" s="3" t="s">
        <v>57</v>
      </c>
      <c r="B57" s="5">
        <v>2400</v>
      </c>
      <c r="C57" s="5">
        <v>2400</v>
      </c>
      <c r="D57" s="5">
        <v>2400</v>
      </c>
      <c r="E57" s="5">
        <v>2400</v>
      </c>
      <c r="F57" s="5">
        <v>2400</v>
      </c>
      <c r="G57" s="5">
        <f t="shared" si="0"/>
        <v>12000</v>
      </c>
    </row>
    <row r="58" spans="1:7" x14ac:dyDescent="0.3">
      <c r="A58" s="3" t="s">
        <v>58</v>
      </c>
      <c r="B58" s="5">
        <v>240</v>
      </c>
      <c r="C58" s="5">
        <v>240</v>
      </c>
      <c r="D58" s="5">
        <v>240</v>
      </c>
      <c r="E58" s="5">
        <v>240</v>
      </c>
      <c r="F58" s="5">
        <v>240</v>
      </c>
      <c r="G58" s="5">
        <f t="shared" si="0"/>
        <v>1200</v>
      </c>
    </row>
    <row r="59" spans="1:7" ht="15" thickBot="1" x14ac:dyDescent="0.35">
      <c r="A59" s="2" t="s">
        <v>59</v>
      </c>
      <c r="B59" s="7">
        <f>SUM(B8:B58)</f>
        <v>792001.91999999993</v>
      </c>
      <c r="C59" s="7">
        <f>SUM(C8:C58)</f>
        <v>581322.92000000004</v>
      </c>
      <c r="D59" s="7">
        <f>SUM(D8:D58)</f>
        <v>581322.92000000004</v>
      </c>
      <c r="E59" s="7">
        <f>SUM(E8:E58)</f>
        <v>581322.92000000004</v>
      </c>
      <c r="F59" s="7">
        <f>SUM(F8:F58)</f>
        <v>581322.92000000004</v>
      </c>
      <c r="G59" s="10">
        <f t="shared" si="0"/>
        <v>3117293.5999999996</v>
      </c>
    </row>
    <row r="60" spans="1:7" ht="15" thickTop="1" x14ac:dyDescent="0.3">
      <c r="A60" s="2"/>
      <c r="B60" s="6"/>
      <c r="C60" s="6"/>
      <c r="D60" s="6"/>
      <c r="E60" s="6"/>
      <c r="F60" s="6"/>
      <c r="G60" s="6"/>
    </row>
    <row r="61" spans="1:7" x14ac:dyDescent="0.3">
      <c r="A61" s="2" t="s">
        <v>60</v>
      </c>
      <c r="B61" s="5">
        <f>B4 - B59</f>
        <v>-345216.91999999993</v>
      </c>
      <c r="C61" s="5">
        <f>C4 - C59</f>
        <v>-22841.920000000042</v>
      </c>
      <c r="D61" s="5">
        <f>D4 - D59</f>
        <v>116778.07999999996</v>
      </c>
      <c r="E61" s="5">
        <f>E4 - E59</f>
        <v>291303.07999999996</v>
      </c>
      <c r="F61" s="5">
        <f>F4 - F59</f>
        <v>509460.07999999996</v>
      </c>
      <c r="G61" s="8">
        <f>G4-G59</f>
        <v>549482.40000000037</v>
      </c>
    </row>
    <row r="62" spans="1:7" x14ac:dyDescent="0.3">
      <c r="A62" s="2" t="s">
        <v>61</v>
      </c>
      <c r="B62" s="5">
        <f>IF(B61&gt;0,B61,0)</f>
        <v>0</v>
      </c>
      <c r="C62" s="5">
        <f>IF(C61&gt;0,C61,0)</f>
        <v>0</v>
      </c>
      <c r="D62" s="5">
        <f>IF(D61&gt;0,D61,0)</f>
        <v>116778.07999999996</v>
      </c>
      <c r="E62" s="5">
        <f>IF(E61&gt;0,E61,0)</f>
        <v>291303.07999999996</v>
      </c>
      <c r="F62" s="5">
        <f>IF(F61&gt;0,F61,0)</f>
        <v>509460.07999999996</v>
      </c>
      <c r="G62" s="8">
        <f>SUM(B62:F62)</f>
        <v>917541.23999999987</v>
      </c>
    </row>
    <row r="63" spans="1:7" x14ac:dyDescent="0.3">
      <c r="A63" s="2" t="s">
        <v>62</v>
      </c>
      <c r="B63" s="5">
        <f>IF(B61&lt;0,B61,0)</f>
        <v>-345216.91999999993</v>
      </c>
      <c r="C63" s="5">
        <f>IF(C61&lt;0,C61,0)</f>
        <v>-22841.920000000042</v>
      </c>
      <c r="D63" s="5">
        <f>IF(D61&lt;0,D61,0)</f>
        <v>0</v>
      </c>
      <c r="E63" s="5">
        <f>IF(E61&lt;0,E61,0)</f>
        <v>0</v>
      </c>
      <c r="F63" s="5">
        <f>IF(F61&lt;0,F61,0)</f>
        <v>0</v>
      </c>
      <c r="G63" s="8">
        <f>SUM(B63:F63)</f>
        <v>-368058.83999999997</v>
      </c>
    </row>
    <row r="64" spans="1:7" x14ac:dyDescent="0.3">
      <c r="A64" s="13" t="s">
        <v>65</v>
      </c>
      <c r="B64" s="5">
        <f>B61</f>
        <v>-345216.91999999993</v>
      </c>
      <c r="C64" s="5">
        <f>B64+C61</f>
        <v>-368058.83999999997</v>
      </c>
      <c r="D64" s="5">
        <f>C64+D61</f>
        <v>-251280.76</v>
      </c>
      <c r="E64" s="5">
        <f>D64+E61</f>
        <v>40022.319999999949</v>
      </c>
      <c r="F64" s="5">
        <f>E64+F61</f>
        <v>549482.39999999991</v>
      </c>
      <c r="G64" s="8">
        <f>SUM(B64:F64)</f>
        <v>-375051.80000000005</v>
      </c>
    </row>
    <row r="65" spans="1:7" x14ac:dyDescent="0.3">
      <c r="A65" s="13" t="s">
        <v>66</v>
      </c>
      <c r="B65" s="5">
        <f>B61</f>
        <v>-345216.91999999993</v>
      </c>
      <c r="C65" s="5">
        <f>B65+C5-C59</f>
        <v>-345718.83999999997</v>
      </c>
      <c r="D65" s="5">
        <f>C65+D5-D59</f>
        <v>-171974.76</v>
      </c>
      <c r="E65" s="5">
        <f>D65+E5-E59</f>
        <v>228289.31999999995</v>
      </c>
      <c r="F65" s="5">
        <f>E65+F5-F59</f>
        <v>923029.39999999979</v>
      </c>
      <c r="G65" s="8">
        <f>SUM(B65:F65)</f>
        <v>288408.19999999984</v>
      </c>
    </row>
  </sheetData>
  <mergeCells count="1">
    <mergeCell ref="A1:G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 Cash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Jayden Leung</cp:lastModifiedBy>
  <cp:revision/>
  <dcterms:created xsi:type="dcterms:W3CDTF">2025-12-16T02:00:17Z</dcterms:created>
  <dcterms:modified xsi:type="dcterms:W3CDTF">2026-01-11T19:17:36Z</dcterms:modified>
  <cp:category/>
  <cp:contentStatus/>
</cp:coreProperties>
</file>