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name="Operations" sheetId="1" state="visible" r:id="rId1"/>
    <sheet name="Marketing" sheetId="2" state="visible" r:id="rId2"/>
    <sheet name="Finance" sheetId="3" state="visible" r:id="rId3"/>
    <sheet name="Sponsorship" sheetId="4" state="visible" r:id="rId4"/>
    <sheet name="MASTER BUDGET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\$#,##0.00;&quot;($&quot;#,##0.00\);\-"/>
    <numFmt numFmtId="166" formatCode="0.0%"/>
    <numFmt numFmtId="167" formatCode="_([$$-409]* #,##0.00_);_([$$-409]* \(#,##0.00\);_([$$-409]* &quot;-&quot;??_);_(@_)"/>
  </numFmts>
  <fonts count="33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1B2631"/>
      <sz val="10"/>
    </font>
    <font>
      <name val="Arial"/>
      <charset val="1"/>
      <b val="1"/>
      <color rgb="FFFFFFFF"/>
      <sz val="11"/>
    </font>
    <font>
      <name val="Arial"/>
      <charset val="1"/>
      <color rgb="FF333333"/>
      <sz val="10"/>
    </font>
    <font>
      <name val="Arial"/>
      <charset val="1"/>
      <color rgb="FF0000FF"/>
      <sz val="10"/>
    </font>
    <font>
      <name val="Arial"/>
      <charset val="1"/>
      <color rgb="FF000000"/>
      <sz val="10"/>
    </font>
    <font>
      <name val="Arial"/>
      <charset val="1"/>
      <b val="1"/>
      <color rgb="FF1B2631"/>
      <sz val="10"/>
    </font>
    <font>
      <name val="Arial"/>
      <charset val="1"/>
      <b val="1"/>
      <color rgb="FFFFFFFF"/>
      <sz val="12"/>
    </font>
    <font>
      <name val="Arial"/>
      <charset val="1"/>
      <i val="1"/>
      <color rgb="FF1B2631"/>
      <sz val="9"/>
    </font>
    <font>
      <name val="Arial"/>
      <charset val="1"/>
      <i val="1"/>
      <color rgb="FF666666"/>
      <sz val="10"/>
    </font>
    <font>
      <name val="Arial"/>
      <charset val="1"/>
      <b val="1"/>
      <color rgb="FF000000"/>
      <sz val="11"/>
    </font>
    <font>
      <name val="Arial"/>
      <charset val="1"/>
      <color rgb="FF008000"/>
      <sz val="10"/>
    </font>
    <font>
      <name val="Arial"/>
      <charset val="1"/>
      <b val="1"/>
      <color rgb="FFFFFFFF"/>
      <sz val="14"/>
    </font>
    <font>
      <name val="Arial"/>
      <charset val="1"/>
      <color rgb="FF444444"/>
      <sz val="10"/>
    </font>
    <font>
      <name val="Arial"/>
      <charset val="1"/>
      <color rgb="FF1B2631"/>
      <sz val="10"/>
    </font>
    <font>
      <name val="Arial"/>
      <charset val="1"/>
      <b val="1"/>
      <color rgb="FF0000FF"/>
      <sz val="10"/>
    </font>
    <font>
      <name val="Arial"/>
      <charset val="1"/>
      <b val="1"/>
      <color rgb="FFFFFFFF"/>
      <sz val="20"/>
    </font>
    <font>
      <name val="Arial"/>
      <charset val="1"/>
      <color rgb="FF555555"/>
      <sz val="9"/>
    </font>
    <font>
      <name val="Arial"/>
      <charset val="1"/>
      <b val="1"/>
      <color rgb="FF0B5345"/>
      <sz val="18"/>
    </font>
    <font>
      <name val="Arial"/>
      <charset val="1"/>
      <b val="1"/>
      <color rgb="FF78281F"/>
      <sz val="18"/>
    </font>
    <font>
      <name val="Arial"/>
      <charset val="1"/>
      <b val="1"/>
      <color rgb="FFD35400"/>
      <sz val="18"/>
    </font>
    <font>
      <name val="Arial"/>
      <charset val="1"/>
      <b val="1"/>
      <color rgb="FF6C3483"/>
      <sz val="18"/>
    </font>
    <font>
      <name val="Arial"/>
      <charset val="1"/>
      <b val="1"/>
      <color rgb="FF1A5276"/>
      <sz val="22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i val="1"/>
      <color rgb="FF999999"/>
      <sz val="9"/>
    </font>
    <font>
      <name val="Arial"/>
      <charset val="1"/>
      <i val="1"/>
      <color rgb="FF777777"/>
      <sz val="9"/>
    </font>
    <font>
      <name val="Arial"/>
      <charset val="1"/>
      <b val="1"/>
      <color rgb="FFFFFFFF"/>
      <sz val="22"/>
    </font>
    <font>
      <name val="Arial"/>
      <charset val="1"/>
      <b val="1"/>
      <color rgb="FF1B2631"/>
      <sz val="11"/>
    </font>
    <font>
      <name val="Arial"/>
      <charset val="1"/>
      <i val="1"/>
      <color rgb="FF444444"/>
      <sz val="10"/>
    </font>
    <font>
      <name val="Arial"/>
      <charset val="1"/>
      <color rgb="FF008000"/>
      <sz val="9"/>
    </font>
    <font>
      <name val="Arial"/>
      <charset val="1"/>
      <b val="1"/>
      <color rgb="FF333333"/>
      <sz val="10"/>
    </font>
  </fonts>
  <fills count="28">
    <fill>
      <patternFill/>
    </fill>
    <fill>
      <patternFill patternType="gray125"/>
    </fill>
    <fill>
      <patternFill patternType="solid">
        <fgColor rgb="FFE67E22"/>
        <bgColor rgb="FFD35400"/>
      </patternFill>
    </fill>
    <fill>
      <patternFill patternType="solid">
        <fgColor rgb="FFF2F3F4"/>
        <bgColor rgb="FFEBF5FB"/>
      </patternFill>
    </fill>
    <fill>
      <patternFill patternType="solid">
        <fgColor rgb="FFD35400"/>
        <bgColor rgb="FFE67E22"/>
      </patternFill>
    </fill>
    <fill>
      <patternFill patternType="solid">
        <fgColor rgb="FFD5F5E3"/>
        <bgColor rgb="FFD1F2EB"/>
      </patternFill>
    </fill>
    <fill>
      <patternFill patternType="solid">
        <fgColor rgb="FFFFFFFF"/>
        <bgColor rgb="FFFEF9E7"/>
      </patternFill>
    </fill>
    <fill>
      <patternFill patternType="solid">
        <fgColor rgb="FFF1C40F"/>
        <bgColor rgb="FFFFFF00"/>
      </patternFill>
    </fill>
    <fill>
      <patternFill patternType="solid">
        <fgColor rgb="FF6C3483"/>
        <bgColor rgb="FF6E2F8C"/>
      </patternFill>
    </fill>
    <fill>
      <patternFill patternType="solid">
        <fgColor rgb="FF148F77"/>
        <bgColor rgb="FF0E6655"/>
      </patternFill>
    </fill>
    <fill>
      <patternFill patternType="solid">
        <fgColor rgb="FF0E6655"/>
        <bgColor rgb="FF0B5345"/>
      </patternFill>
    </fill>
    <fill>
      <patternFill patternType="solid">
        <fgColor rgb="FFE8F8F5"/>
        <bgColor rgb="FFEBF5FB"/>
      </patternFill>
    </fill>
    <fill>
      <patternFill patternType="solid">
        <fgColor rgb="FFA9DFBF"/>
        <bgColor rgb="FFBFC9CA"/>
      </patternFill>
    </fill>
    <fill>
      <patternFill patternType="solid">
        <fgColor rgb="FF6E2F8C"/>
        <bgColor rgb="FF6C3483"/>
      </patternFill>
    </fill>
    <fill>
      <patternFill patternType="solid">
        <fgColor rgb="FF1A5276"/>
        <bgColor rgb="FF0B5345"/>
      </patternFill>
    </fill>
    <fill>
      <patternFill patternType="solid">
        <fgColor rgb="FFEBF5FB"/>
        <bgColor rgb="FFE8F8F5"/>
      </patternFill>
    </fill>
    <fill>
      <patternFill patternType="solid">
        <fgColor rgb="FFFDEDEC"/>
        <bgColor rgb="FFF4ECF7"/>
      </patternFill>
    </fill>
    <fill>
      <patternFill patternType="solid">
        <fgColor rgb="FFF1948A"/>
        <bgColor rgb="FFE67E22"/>
      </patternFill>
    </fill>
    <fill>
      <patternFill patternType="solid">
        <fgColor rgb="FF0B5345"/>
        <bgColor rgb="FF0E6655"/>
      </patternFill>
    </fill>
    <fill>
      <patternFill patternType="solid">
        <fgColor rgb="FFFEF9E7"/>
        <bgColor rgb="FFF2F3F4"/>
      </patternFill>
    </fill>
    <fill>
      <patternFill patternType="solid">
        <fgColor rgb="FFD1F2EB"/>
        <bgColor rgb="FFD5F5E3"/>
      </patternFill>
    </fill>
    <fill>
      <patternFill patternType="solid">
        <fgColor rgb="FFFDEBD0"/>
        <bgColor rgb="FFFDEDEC"/>
      </patternFill>
    </fill>
    <fill>
      <patternFill patternType="solid">
        <fgColor rgb="FF1B2631"/>
        <bgColor rgb="FF333333"/>
      </patternFill>
    </fill>
    <fill>
      <patternFill patternType="solid">
        <fgColor rgb="FF2C3E50"/>
        <bgColor rgb="FF333333"/>
      </patternFill>
    </fill>
    <fill>
      <patternFill patternType="solid">
        <fgColor rgb="FFF4ECF7"/>
        <bgColor rgb="FFF2F3F4"/>
      </patternFill>
    </fill>
    <fill>
      <patternFill patternType="solid">
        <fgColor rgb="FFD6EAF8"/>
        <bgColor rgb="FFD1F2EB"/>
      </patternFill>
    </fill>
    <fill>
      <patternFill patternType="solid">
        <fgColor rgb="FF78281F"/>
        <bgColor rgb="FF800000"/>
      </patternFill>
    </fill>
    <fill>
      <patternFill patternType="solid">
        <fgColor rgb="FF5D6D7E"/>
        <bgColor rgb="FF666666"/>
      </patternFill>
    </fill>
  </fills>
  <borders count="13">
    <border>
      <left/>
      <right/>
      <top/>
      <bottom/>
      <diagonal/>
    </border>
    <border>
      <left style="thin">
        <color rgb="FFBFC9CA"/>
      </left>
      <right/>
      <top style="thin">
        <color rgb="FFBFC9CA"/>
      </top>
      <bottom style="thin">
        <color rgb="FFBFC9CA"/>
      </bottom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medium">
        <color rgb="FF1A5276"/>
      </left>
      <right/>
      <top style="medium">
        <color rgb="FF1A5276"/>
      </top>
      <bottom style="medium">
        <color rgb="FF1A5276"/>
      </bottom>
      <diagonal/>
    </border>
    <border>
      <left style="medium">
        <color rgb="FF1A5276"/>
      </left>
      <right style="thin">
        <color rgb="FFBFC9CA"/>
      </right>
      <top style="medium">
        <color rgb="FF1A5276"/>
      </top>
      <bottom style="medium">
        <color rgb="FF1A5276"/>
      </bottom>
      <diagonal/>
    </border>
    <border>
      <left/>
      <right/>
      <top style="thin">
        <color rgb="FFBFC9CA"/>
      </top>
      <bottom/>
      <diagonal/>
    </border>
    <border>
      <left/>
      <right style="thin">
        <color rgb="FFBFC9CA"/>
      </right>
      <top style="thin">
        <color rgb="FFBFC9CA"/>
      </top>
      <bottom/>
      <diagonal/>
    </border>
    <border>
      <left/>
      <right/>
      <top style="thin">
        <color rgb="FFBFC9CA"/>
      </top>
      <bottom style="thin">
        <color rgb="FFBFC9CA"/>
      </bottom>
      <diagonal/>
    </border>
    <border>
      <left/>
      <right style="thin">
        <color rgb="FFBFC9CA"/>
      </right>
      <top style="thin">
        <color rgb="FFBFC9CA"/>
      </top>
      <bottom style="thin">
        <color rgb="FFBFC9CA"/>
      </bottom>
      <diagonal/>
    </border>
    <border>
      <left/>
      <right/>
      <top style="medium">
        <color rgb="FF1A5276"/>
      </top>
      <bottom/>
      <diagonal/>
    </border>
    <border>
      <left/>
      <right style="thin">
        <color rgb="FFBFC9CA"/>
      </right>
      <top style="medium">
        <color rgb="FF1A5276"/>
      </top>
      <bottom/>
      <diagonal/>
    </border>
    <border>
      <left/>
      <right/>
      <top style="medium">
        <color rgb="FF1A5276"/>
      </top>
      <bottom style="medium">
        <color rgb="FF1A5276"/>
      </bottom>
      <diagonal/>
    </border>
    <border>
      <left/>
      <right style="thin">
        <color rgb="FFBFC9CA"/>
      </right>
      <top style="medium">
        <color rgb="FF1A5276"/>
      </top>
      <bottom style="medium">
        <color rgb="FF1A5276"/>
      </bottom>
      <diagonal/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165" fontId="6" fillId="5" borderId="2" applyAlignment="1" pivotButton="0" quotePrefix="0" xfId="0">
      <alignment vertical="center" wrapText="1"/>
    </xf>
    <xf numFmtId="165" fontId="5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164" fontId="5" fillId="6" borderId="2" applyAlignment="1" pivotButton="0" quotePrefix="0" xfId="0">
      <alignment vertical="center" wrapText="1"/>
    </xf>
    <xf numFmtId="165" fontId="6" fillId="6" borderId="2" applyAlignment="1" pivotButton="0" quotePrefix="0" xfId="0">
      <alignment vertical="center" wrapText="1"/>
    </xf>
    <xf numFmtId="165" fontId="5" fillId="6" borderId="2" applyAlignment="1" pivotButton="0" quotePrefix="0" xfId="0">
      <alignment vertical="center" wrapText="1"/>
    </xf>
    <xf numFmtId="165" fontId="7" fillId="7" borderId="2" applyAlignment="1" pivotButton="0" quotePrefix="0" xfId="0">
      <alignment horizontal="right" vertical="center"/>
    </xf>
    <xf numFmtId="0" fontId="0" fillId="7" borderId="2" pivotButton="0" quotePrefix="0" xfId="0"/>
    <xf numFmtId="165" fontId="8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3" fillId="8" borderId="2" applyAlignment="1" pivotButton="0" quotePrefix="0" xfId="0">
      <alignment horizontal="center" vertical="center" wrapText="1"/>
    </xf>
    <xf numFmtId="165" fontId="8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3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vertical="center" wrapText="1"/>
    </xf>
    <xf numFmtId="165" fontId="5" fillId="11" borderId="2" applyAlignment="1" pivotButton="0" quotePrefix="0" xfId="0">
      <alignment vertical="center" wrapText="1"/>
    </xf>
    <xf numFmtId="165" fontId="6" fillId="11" borderId="2" applyAlignment="1" pivotButton="0" quotePrefix="0" xfId="0">
      <alignment vertical="center" wrapText="1"/>
    </xf>
    <xf numFmtId="165" fontId="7" fillId="12" borderId="2" applyAlignment="1" pivotButton="0" quotePrefix="0" xfId="0">
      <alignment horizontal="right" vertical="center"/>
    </xf>
    <xf numFmtId="0" fontId="0" fillId="12" borderId="2" pivotButton="0" quotePrefix="0" xfId="0"/>
    <xf numFmtId="166" fontId="6" fillId="11" borderId="2" applyAlignment="1" pivotButton="0" quotePrefix="0" xfId="0">
      <alignment vertical="center" wrapText="1"/>
    </xf>
    <xf numFmtId="166" fontId="6" fillId="6" borderId="2" applyAlignment="1" pivotButton="0" quotePrefix="0" xfId="0">
      <alignment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15" borderId="2" pivotButton="0" quotePrefix="0" xfId="0"/>
    <xf numFmtId="0" fontId="0" fillId="16" borderId="2" pivotButton="0" quotePrefix="0" xfId="0"/>
    <xf numFmtId="0" fontId="0" fillId="17" borderId="2" pivotButton="0" quotePrefix="0" xfId="0"/>
    <xf numFmtId="0" fontId="3" fillId="18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 indent="1"/>
    </xf>
    <xf numFmtId="0" fontId="15" fillId="6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7" fillId="19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left" vertical="center" wrapText="1" indent="1"/>
    </xf>
    <xf numFmtId="0" fontId="14" fillId="2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left" vertical="center" wrapText="1" indent="1"/>
    </xf>
    <xf numFmtId="0" fontId="15" fillId="20" borderId="2" applyAlignment="1" pivotButton="0" quotePrefix="0" xfId="0">
      <alignment horizontal="left" vertical="center" wrapText="1" indent="1"/>
    </xf>
    <xf numFmtId="0" fontId="5" fillId="20" borderId="2" applyAlignment="1" pivotButton="0" quotePrefix="0" xfId="0">
      <alignment horizontal="left" vertical="center" wrapText="1" indent="1"/>
    </xf>
    <xf numFmtId="0" fontId="14" fillId="20" borderId="2" applyAlignment="1" pivotButton="0" quotePrefix="0" xfId="0">
      <alignment horizontal="left" vertical="center" wrapText="1" indent="1"/>
    </xf>
    <xf numFmtId="165" fontId="16" fillId="6" borderId="2" applyAlignment="1" pivotButton="0" quotePrefix="0" xfId="0">
      <alignment horizontal="left" vertical="center" wrapText="1" indent="1"/>
    </xf>
    <xf numFmtId="0" fontId="7" fillId="21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vertical="center"/>
    </xf>
    <xf numFmtId="165" fontId="5" fillId="6" borderId="2" applyAlignment="1" pivotButton="0" quotePrefix="0" xfId="0">
      <alignment vertical="center"/>
    </xf>
    <xf numFmtId="0" fontId="5" fillId="20" borderId="2" applyAlignment="1" pivotButton="0" quotePrefix="0" xfId="0">
      <alignment vertical="center"/>
    </xf>
    <xf numFmtId="165" fontId="5" fillId="20" borderId="2" applyAlignment="1" pivotButton="0" quotePrefix="0" xfId="0">
      <alignment vertical="center"/>
    </xf>
    <xf numFmtId="165" fontId="8" fillId="18" borderId="2" applyAlignment="1" pivotButton="0" quotePrefix="0" xfId="0">
      <alignment horizontal="right" vertical="center"/>
    </xf>
    <xf numFmtId="0" fontId="0" fillId="18" borderId="2" pivotButton="0" quotePrefix="0" xfId="0"/>
    <xf numFmtId="0" fontId="25" fillId="10" borderId="2" applyAlignment="1" pivotButton="0" quotePrefix="0" xfId="0">
      <alignment horizontal="left" vertical="center"/>
    </xf>
    <xf numFmtId="0" fontId="25" fillId="10" borderId="2" applyAlignment="1" pivotButton="0" quotePrefix="0" xfId="0">
      <alignment horizontal="left" vertical="center" indent="1"/>
    </xf>
    <xf numFmtId="0" fontId="25" fillId="10" borderId="2" applyAlignment="1" pivotButton="0" quotePrefix="0" xfId="0">
      <alignment horizontal="center" vertical="center"/>
    </xf>
    <xf numFmtId="0" fontId="26" fillId="5" borderId="2" applyAlignment="1" pivotButton="0" quotePrefix="0" xfId="0">
      <alignment horizontal="left" vertical="center" indent="1"/>
    </xf>
    <xf numFmtId="0" fontId="15" fillId="5" borderId="2" applyAlignment="1" pivotButton="0" quotePrefix="0" xfId="0">
      <alignment horizontal="left" vertical="center" indent="1"/>
    </xf>
    <xf numFmtId="0" fontId="0" fillId="5" borderId="2" pivotButton="0" quotePrefix="0" xfId="0"/>
    <xf numFmtId="165" fontId="12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165" fontId="13" fillId="10" borderId="2" applyAlignment="1" pivotButton="0" quotePrefix="0" xfId="0">
      <alignment horizontal="right" vertical="center"/>
    </xf>
    <xf numFmtId="0" fontId="0" fillId="10" borderId="2" pivotButton="0" quotePrefix="0" xfId="0"/>
    <xf numFmtId="0" fontId="25" fillId="26" borderId="2" applyAlignment="1" pivotButton="0" quotePrefix="0" xfId="0">
      <alignment horizontal="left" vertical="center"/>
    </xf>
    <xf numFmtId="0" fontId="25" fillId="26" borderId="2" applyAlignment="1" pivotButton="0" quotePrefix="0" xfId="0">
      <alignment horizontal="left" vertical="center" indent="1"/>
    </xf>
    <xf numFmtId="0" fontId="25" fillId="26" borderId="2" applyAlignment="1" pivotButton="0" quotePrefix="0" xfId="0">
      <alignment horizontal="center" vertical="center"/>
    </xf>
    <xf numFmtId="0" fontId="26" fillId="16" borderId="2" applyAlignment="1" pivotButton="0" quotePrefix="0" xfId="0">
      <alignment horizontal="left" vertical="center" indent="1"/>
    </xf>
    <xf numFmtId="0" fontId="15" fillId="16" borderId="2" applyAlignment="1" pivotButton="0" quotePrefix="0" xfId="0">
      <alignment horizontal="left" vertical="center" indent="1"/>
    </xf>
    <xf numFmtId="165" fontId="12" fillId="16" borderId="2" applyAlignment="1" pivotButton="0" quotePrefix="0" xfId="0">
      <alignment horizontal="right" vertical="center"/>
    </xf>
    <xf numFmtId="165" fontId="13" fillId="26" borderId="2" applyAlignment="1" pivotButton="0" quotePrefix="0" xfId="0">
      <alignment horizontal="right" vertical="center"/>
    </xf>
    <xf numFmtId="0" fontId="0" fillId="26" borderId="2" pivotButton="0" quotePrefix="0" xfId="0"/>
    <xf numFmtId="0" fontId="25" fillId="14" borderId="2" applyAlignment="1" pivotButton="0" quotePrefix="0" xfId="0">
      <alignment horizontal="left" vertical="center"/>
    </xf>
    <xf numFmtId="0" fontId="25" fillId="14" borderId="2" applyAlignment="1" pivotButton="0" quotePrefix="0" xfId="0">
      <alignment horizontal="left" vertical="center" indent="1"/>
    </xf>
    <xf numFmtId="0" fontId="25" fillId="14" borderId="2" applyAlignment="1" pivotButton="0" quotePrefix="0" xfId="0">
      <alignment horizontal="center" vertical="center"/>
    </xf>
    <xf numFmtId="0" fontId="26" fillId="19" borderId="2" applyAlignment="1" pivotButton="0" quotePrefix="0" xfId="0">
      <alignment horizontal="left" vertical="center" indent="1"/>
    </xf>
    <xf numFmtId="0" fontId="15" fillId="19" borderId="2" applyAlignment="1" pivotButton="0" quotePrefix="0" xfId="0">
      <alignment horizontal="left" vertical="center" indent="1"/>
    </xf>
    <xf numFmtId="0" fontId="0" fillId="19" borderId="2" pivotButton="0" quotePrefix="0" xfId="0"/>
    <xf numFmtId="165" fontId="12" fillId="19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7" fillId="19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25" fillId="27" borderId="2" applyAlignment="1" pivotButton="0" quotePrefix="0" xfId="0">
      <alignment horizontal="left" vertical="center"/>
    </xf>
    <xf numFmtId="0" fontId="25" fillId="27" borderId="2" applyAlignment="1" pivotButton="0" quotePrefix="0" xfId="0">
      <alignment horizontal="left" vertical="center" indent="1"/>
    </xf>
    <xf numFmtId="165" fontId="31" fillId="3" borderId="2" applyAlignment="1" pivotButton="0" quotePrefix="0" xfId="0">
      <alignment horizontal="left" vertical="center" indent="1"/>
    </xf>
    <xf numFmtId="0" fontId="18" fillId="3" borderId="2" applyAlignment="1" pivotButton="0" quotePrefix="0" xfId="0">
      <alignment horizontal="left" vertical="center" indent="1"/>
    </xf>
    <xf numFmtId="165" fontId="31" fillId="6" borderId="2" applyAlignment="1" pivotButton="0" quotePrefix="0" xfId="0">
      <alignment horizontal="left" vertical="center" indent="1"/>
    </xf>
    <xf numFmtId="0" fontId="18" fillId="6" borderId="2" applyAlignment="1" pivotButton="0" quotePrefix="0" xfId="0">
      <alignment horizontal="left" vertical="center" indent="1"/>
    </xf>
    <xf numFmtId="0" fontId="31" fillId="6" borderId="2" applyAlignment="1" pivotButton="0" quotePrefix="0" xfId="0">
      <alignment horizontal="left" vertical="center" indent="1"/>
    </xf>
    <xf numFmtId="0" fontId="31" fillId="3" borderId="2" applyAlignment="1" pivotButton="0" quotePrefix="0" xfId="0">
      <alignment horizontal="left" vertical="center" indent="1"/>
    </xf>
    <xf numFmtId="167" fontId="5" fillId="5" borderId="2" applyAlignment="1" pivotButton="0" quotePrefix="0" xfId="0">
      <alignment vertical="center" wrapText="1"/>
    </xf>
    <xf numFmtId="167" fontId="5" fillId="6" borderId="2" applyAlignment="1" pivotButton="0" quotePrefix="0" xfId="0">
      <alignment vertical="center" wrapText="1"/>
    </xf>
    <xf numFmtId="0" fontId="32" fillId="5" borderId="2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7" fillId="7" borderId="2" applyAlignment="1" pivotButton="0" quotePrefix="0" xfId="0">
      <alignment horizontal="right" vertical="center"/>
    </xf>
    <xf numFmtId="0" fontId="0" fillId="6" borderId="0" pivotButton="0" quotePrefix="0" xfId="0"/>
    <xf numFmtId="0" fontId="8" fillId="2" borderId="2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indent="1"/>
    </xf>
    <xf numFmtId="0" fontId="1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right" vertical="center"/>
    </xf>
    <xf numFmtId="0" fontId="1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indent="1"/>
    </xf>
    <xf numFmtId="0" fontId="7" fillId="12" borderId="2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 indent="1"/>
    </xf>
    <xf numFmtId="0" fontId="10" fillId="6" borderId="2" applyAlignment="1" pivotButton="0" quotePrefix="0" xfId="0">
      <alignment horizontal="left" vertical="center" indent="1"/>
    </xf>
    <xf numFmtId="165" fontId="5" fillId="6" borderId="1" applyAlignment="1" pivotButton="0" quotePrefix="0" xfId="0">
      <alignment horizontal="right" vertical="center"/>
    </xf>
    <xf numFmtId="0" fontId="4" fillId="15" borderId="2" applyAlignment="1" pivotButton="0" quotePrefix="0" xfId="0">
      <alignment horizontal="left" vertical="center" indent="1"/>
    </xf>
    <xf numFmtId="0" fontId="10" fillId="15" borderId="2" applyAlignment="1" pivotButton="0" quotePrefix="0" xfId="0">
      <alignment horizontal="left" vertical="center" indent="1"/>
    </xf>
    <xf numFmtId="165" fontId="6" fillId="15" borderId="1" applyAlignment="1" pivotButton="0" quotePrefix="0" xfId="0">
      <alignment horizontal="right" vertical="center"/>
    </xf>
    <xf numFmtId="165" fontId="5" fillId="15" borderId="1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 indent="1"/>
    </xf>
    <xf numFmtId="0" fontId="10" fillId="12" borderId="2" applyAlignment="1" pivotButton="0" quotePrefix="0" xfId="0">
      <alignment horizontal="left" vertical="center" indent="1"/>
    </xf>
    <xf numFmtId="165" fontId="11" fillId="12" borderId="1" applyAlignment="1" pivotButton="0" quotePrefix="0" xfId="0">
      <alignment horizontal="right" vertical="center"/>
    </xf>
    <xf numFmtId="0" fontId="4" fillId="16" borderId="2" applyAlignment="1" pivotButton="0" quotePrefix="0" xfId="0">
      <alignment horizontal="left" vertical="center" indent="1"/>
    </xf>
    <xf numFmtId="0" fontId="10" fillId="16" borderId="2" applyAlignment="1" pivotButton="0" quotePrefix="0" xfId="0">
      <alignment horizontal="left" vertical="center" indent="1"/>
    </xf>
    <xf numFmtId="165" fontId="12" fillId="16" borderId="1" applyAlignment="1" pivotButton="0" quotePrefix="0" xfId="0">
      <alignment horizontal="right" vertical="center"/>
    </xf>
    <xf numFmtId="165" fontId="6" fillId="16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left" vertical="center" indent="2"/>
    </xf>
    <xf numFmtId="165" fontId="13" fillId="14" borderId="1" applyAlignment="1" pivotButton="0" quotePrefix="0" xfId="0">
      <alignment horizontal="center" vertical="center"/>
    </xf>
    <xf numFmtId="0" fontId="7" fillId="17" borderId="2" applyAlignment="1" pivotButton="0" quotePrefix="0" xfId="0">
      <alignment horizontal="left" vertical="center" indent="1"/>
    </xf>
    <xf numFmtId="0" fontId="10" fillId="17" borderId="2" applyAlignment="1" pivotButton="0" quotePrefix="0" xfId="0">
      <alignment horizontal="left" vertical="center" indent="1"/>
    </xf>
    <xf numFmtId="165" fontId="11" fillId="17" borderId="1" applyAlignment="1" pivotButton="0" quotePrefix="0" xfId="0">
      <alignment horizontal="right" vertical="center"/>
    </xf>
    <xf numFmtId="0" fontId="1" fillId="1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2"/>
    </xf>
    <xf numFmtId="0" fontId="8" fillId="9" borderId="1" applyAlignment="1" pivotButton="0" quotePrefix="0" xfId="0">
      <alignment horizontal="left" vertical="center" indent="2"/>
    </xf>
    <xf numFmtId="0" fontId="3" fillId="18" borderId="2" applyAlignment="1" pivotButton="0" quotePrefix="0" xfId="0">
      <alignment horizontal="right" vertical="center"/>
    </xf>
    <xf numFmtId="0" fontId="17" fillId="22" borderId="1" applyAlignment="1" pivotButton="0" quotePrefix="0" xfId="0">
      <alignment horizontal="center" vertical="center"/>
    </xf>
    <xf numFmtId="0" fontId="0" fillId="6" borderId="1" pivotButton="0" quotePrefix="0" xfId="0"/>
    <xf numFmtId="0" fontId="8" fillId="23" borderId="1" applyAlignment="1" pivotButton="0" quotePrefix="0" xfId="0">
      <alignment horizontal="left" vertical="center" indent="3"/>
    </xf>
    <xf numFmtId="0" fontId="18" fillId="5" borderId="1" applyAlignment="1" pivotButton="0" quotePrefix="0" xfId="0">
      <alignment horizontal="left" vertical="center" indent="2"/>
    </xf>
    <xf numFmtId="0" fontId="18" fillId="16" borderId="1" applyAlignment="1" pivotButton="0" quotePrefix="0" xfId="0">
      <alignment horizontal="left" vertical="center" indent="2"/>
    </xf>
    <xf numFmtId="165" fontId="19" fillId="5" borderId="3" applyAlignment="1" pivotButton="0" quotePrefix="0" xfId="0">
      <alignment horizontal="left" vertical="center" indent="2"/>
    </xf>
    <xf numFmtId="165" fontId="20" fillId="16" borderId="3" applyAlignment="1" pivotButton="0" quotePrefix="0" xfId="0">
      <alignment horizontal="left" vertical="center" indent="2"/>
    </xf>
    <xf numFmtId="0" fontId="18" fillId="19" borderId="1" applyAlignment="1" pivotButton="0" quotePrefix="0" xfId="0">
      <alignment horizontal="left" vertical="center" indent="2"/>
    </xf>
    <xf numFmtId="0" fontId="18" fillId="24" borderId="1" applyAlignment="1" pivotButton="0" quotePrefix="0" xfId="0">
      <alignment horizontal="left" vertical="center" indent="2"/>
    </xf>
    <xf numFmtId="165" fontId="21" fillId="19" borderId="3" applyAlignment="1" pivotButton="0" quotePrefix="0" xfId="0">
      <alignment horizontal="left" vertical="center" indent="2"/>
    </xf>
    <xf numFmtId="165" fontId="22" fillId="24" borderId="3" applyAlignment="1" pivotButton="0" quotePrefix="0" xfId="0">
      <alignment horizontal="left" vertical="center" indent="2"/>
    </xf>
    <xf numFmtId="0" fontId="18" fillId="25" borderId="1" applyAlignment="1" pivotButton="0" quotePrefix="0" xfId="0">
      <alignment horizontal="left" vertical="center" indent="2"/>
    </xf>
    <xf numFmtId="165" fontId="23" fillId="25" borderId="3" applyAlignment="1" pivotButton="0" quotePrefix="0" xfId="0">
      <alignment horizontal="left" vertical="center" indent="2"/>
    </xf>
    <xf numFmtId="0" fontId="15" fillId="15" borderId="1" applyAlignment="1" pivotButton="0" quotePrefix="0" xfId="0">
      <alignment horizontal="left" vertical="top" wrapText="1" indent="1"/>
    </xf>
    <xf numFmtId="0" fontId="24" fillId="10" borderId="1" applyAlignment="1" pivotButton="0" quotePrefix="0" xfId="0">
      <alignment horizontal="left" vertical="center" indent="3"/>
    </xf>
    <xf numFmtId="0" fontId="27" fillId="5" borderId="1" applyAlignment="1" pivotButton="0" quotePrefix="0" xfId="0">
      <alignment horizontal="left" vertical="center" wrapText="1" indent="1"/>
    </xf>
    <xf numFmtId="0" fontId="24" fillId="10" borderId="2" applyAlignment="1" pivotButton="0" quotePrefix="0" xfId="0">
      <alignment horizontal="right" vertical="center"/>
    </xf>
    <xf numFmtId="0" fontId="24" fillId="26" borderId="1" applyAlignment="1" pivotButton="0" quotePrefix="0" xfId="0">
      <alignment horizontal="left" vertical="center" indent="3"/>
    </xf>
    <xf numFmtId="0" fontId="27" fillId="16" borderId="1" applyAlignment="1" pivotButton="0" quotePrefix="0" xfId="0">
      <alignment horizontal="left" vertical="center" wrapText="1" indent="1"/>
    </xf>
    <xf numFmtId="0" fontId="24" fillId="26" borderId="2" applyAlignment="1" pivotButton="0" quotePrefix="0" xfId="0">
      <alignment horizontal="right" vertical="center"/>
    </xf>
    <xf numFmtId="0" fontId="24" fillId="14" borderId="1" applyAlignment="1" pivotButton="0" quotePrefix="0" xfId="0">
      <alignment horizontal="left" vertical="center" indent="3"/>
    </xf>
    <xf numFmtId="0" fontId="27" fillId="19" borderId="1" applyAlignment="1" pivotButton="0" quotePrefix="0" xfId="0">
      <alignment horizontal="left" vertical="center" wrapText="1" indent="1"/>
    </xf>
    <xf numFmtId="0" fontId="1" fillId="22" borderId="2" applyAlignment="1" pivotButton="0" quotePrefix="0" xfId="0">
      <alignment horizontal="center" vertical="center"/>
    </xf>
    <xf numFmtId="165" fontId="28" fillId="22" borderId="4" applyAlignment="1" pivotButton="0" quotePrefix="0" xfId="0">
      <alignment horizontal="center" vertical="center"/>
    </xf>
    <xf numFmtId="0" fontId="8" fillId="27" borderId="1" applyAlignment="1" pivotButton="0" quotePrefix="0" xfId="0">
      <alignment horizontal="left" vertical="center" indent="3"/>
    </xf>
    <xf numFmtId="0" fontId="29" fillId="5" borderId="1" applyAlignment="1" pivotButton="0" quotePrefix="0" xfId="0">
      <alignment horizontal="left" vertical="center" indent="2"/>
    </xf>
    <xf numFmtId="0" fontId="30" fillId="5" borderId="1" applyAlignment="1" pivotButton="0" quotePrefix="0" xfId="0">
      <alignment horizontal="left" vertical="center" wrapText="1" indent="1"/>
    </xf>
    <xf numFmtId="0" fontId="29" fillId="19" borderId="1" applyAlignment="1" pivotButton="0" quotePrefix="0" xfId="0">
      <alignment horizontal="left" vertical="center" indent="2"/>
    </xf>
    <xf numFmtId="0" fontId="30" fillId="19" borderId="1" applyAlignment="1" pivotButton="0" quotePrefix="0" xfId="0">
      <alignment horizontal="left" vertical="center" wrapText="1" indent="1"/>
    </xf>
    <xf numFmtId="0" fontId="29" fillId="16" borderId="1" applyAlignment="1" pivotButton="0" quotePrefix="0" xfId="0">
      <alignment horizontal="left" vertical="center" indent="2"/>
    </xf>
    <xf numFmtId="0" fontId="30" fillId="16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center" indent="2"/>
    </xf>
    <xf numFmtId="0" fontId="27" fillId="3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2"/>
    </xf>
    <xf numFmtId="0" fontId="27" fillId="6" borderId="1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48F77"/>
      <rgbColor rgb="FFBFC9CA"/>
      <rgbColor rgb="FF777777"/>
      <rgbColor rgb="FFEBF5FB"/>
      <rgbColor rgb="FF6C3483"/>
      <rgbColor rgb="FFFEF9E7"/>
      <rgbColor rgb="FFD1F2EB"/>
      <rgbColor rgb="FF660066"/>
      <rgbColor rgb="FFF1948A"/>
      <rgbColor rgb="FF1A5276"/>
      <rgbColor rgb="FFD6EAF8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E8F8F5"/>
      <rgbColor rgb="FFD5F5E3"/>
      <rgbColor rgb="FFFDEBD0"/>
      <rgbColor rgb="FFA9DFBF"/>
      <rgbColor rgb="FFF4ECF7"/>
      <rgbColor rgb="FFF2F3F4"/>
      <rgbColor rgb="FFFDEDEC"/>
      <rgbColor rgb="FF3366FF"/>
      <rgbColor rgb="FF33CCCC"/>
      <rgbColor rgb="FF99CC00"/>
      <rgbColor rgb="FFF1C40F"/>
      <rgbColor rgb="FFD35400"/>
      <rgbColor rgb="FFE67E22"/>
      <rgbColor rgb="FF5D6D7E"/>
      <rgbColor rgb="FF999999"/>
      <rgbColor rgb="FF0B5345"/>
      <rgbColor rgb="FF555555"/>
      <rgbColor rgb="FF444444"/>
      <rgbColor rgb="FF1B2631"/>
      <rgbColor rgb="FF78281F"/>
      <rgbColor rgb="FF6E2F8C"/>
      <rgbColor rgb="FF2C3E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tabSelected="1" zoomScaleNormal="100" workbookViewId="0">
      <pane ySplit="3" topLeftCell="A4" activePane="bottomLeft" state="frozen"/>
      <selection pane="bottomLeft" activeCell="C68" sqref="C68"/>
    </sheetView>
  </sheetViews>
  <sheetFormatPr baseColWidth="8" defaultColWidth="8.6640625" defaultRowHeight="14.4"/>
  <cols>
    <col width="20" customWidth="1" min="1" max="1"/>
    <col width="36.88671875" customWidth="1" min="2" max="2"/>
    <col width="37.5546875" customWidth="1" min="3" max="3"/>
    <col width="8" customWidth="1" min="4" max="4"/>
    <col width="16" customWidth="1" min="5" max="6"/>
    <col width="14" customWidth="1" min="7" max="7"/>
    <col width="28" customWidth="1" min="8" max="8"/>
  </cols>
  <sheetData>
    <row r="1" ht="36" customHeight="1">
      <c r="A1" s="90" t="inlineStr">
        <is>
          <t>🎪  SpringSmash 2026 — Operations Budget</t>
        </is>
      </c>
      <c r="B1" s="163" t="n"/>
      <c r="C1" s="163" t="n"/>
      <c r="D1" s="163" t="n"/>
      <c r="E1" s="163" t="n"/>
      <c r="F1" s="163" t="n"/>
      <c r="G1" s="163" t="n"/>
      <c r="H1" s="163" t="n"/>
    </row>
    <row r="2" ht="39.75" customHeight="1">
      <c r="A2" s="91" t="inlineStr">
        <is>
          <t>Department: Operations Team  |  Event Date: May 14, 2026  |  Last Updated: ___________  |  Prepared By: ___________</t>
        </is>
      </c>
      <c r="B2" s="163" t="n"/>
      <c r="C2" s="163" t="n"/>
      <c r="D2" s="163" t="n"/>
      <c r="E2" s="163" t="n"/>
      <c r="F2" s="163" t="n"/>
      <c r="G2" s="163" t="n"/>
      <c r="H2" s="163" t="n"/>
    </row>
    <row r="3" ht="30" customHeight="1">
      <c r="A3" s="1" t="inlineStr">
        <is>
          <t>Category</t>
        </is>
      </c>
      <c r="B3" s="1" t="inlineStr">
        <is>
          <t>Item / Description</t>
        </is>
      </c>
      <c r="C3" s="1" t="inlineStr">
        <is>
          <t>Vendor / Source</t>
        </is>
      </c>
      <c r="D3" s="1" t="inlineStr">
        <is>
          <t>Qty</t>
        </is>
      </c>
      <c r="E3" s="1" t="inlineStr">
        <is>
          <t>Cost per Unit ($)</t>
        </is>
      </c>
      <c r="F3" s="1" t="inlineStr">
        <is>
          <t>Total Cost ($)</t>
        </is>
      </c>
      <c r="G3" s="1" t="inlineStr">
        <is>
          <t>Status</t>
        </is>
      </c>
      <c r="H3" s="1" t="inlineStr">
        <is>
          <t>Notes</t>
        </is>
      </c>
    </row>
    <row r="4" ht="21.75" customHeight="1">
      <c r="A4" s="92" t="inlineStr">
        <is>
          <t xml:space="preserve">  ▸  🎈 Inflatables</t>
        </is>
      </c>
      <c r="B4" s="163" t="n"/>
      <c r="C4" s="163" t="n"/>
      <c r="D4" s="163" t="n"/>
      <c r="E4" s="163" t="n"/>
      <c r="F4" s="163" t="n"/>
      <c r="G4" s="163" t="n"/>
      <c r="H4" s="163" t="n"/>
    </row>
    <row r="5" ht="18" customHeight="1">
      <c r="A5" s="2" t="inlineStr">
        <is>
          <t>Inflatables</t>
        </is>
      </c>
      <c r="B5" s="2" t="inlineStr">
        <is>
          <t>40 ft tropical waterslide slip and slide</t>
        </is>
      </c>
      <c r="C5" s="2" t="n"/>
      <c r="D5" s="2" t="n">
        <v>1</v>
      </c>
      <c r="E5" s="87" t="n">
        <v>1999</v>
      </c>
      <c r="F5" s="4">
        <f>IF(D5="","-",D5*E5)</f>
        <v/>
      </c>
      <c r="G5" s="5" t="n"/>
      <c r="H5" s="2" t="n"/>
    </row>
    <row r="6" ht="18" customHeight="1">
      <c r="A6" s="6" t="n"/>
      <c r="B6" s="6" t="inlineStr">
        <is>
          <t>Rugged Warrior challenege</t>
        </is>
      </c>
      <c r="C6" s="6" t="n"/>
      <c r="D6" s="6" t="n">
        <v>1</v>
      </c>
      <c r="E6" s="88" t="n">
        <v>1799</v>
      </c>
      <c r="F6" s="8">
        <f>IF(D6="","-",D6*E6)</f>
        <v/>
      </c>
      <c r="G6" s="9" t="n"/>
      <c r="H6" s="6" t="n"/>
    </row>
    <row r="7" ht="18" customHeight="1">
      <c r="A7" s="2" t="n"/>
      <c r="B7" s="6" t="inlineStr">
        <is>
          <t>Slip and Slide</t>
        </is>
      </c>
      <c r="C7" s="2" t="n"/>
      <c r="D7" s="6" t="n">
        <v>1</v>
      </c>
      <c r="E7" s="88" t="n">
        <v>399</v>
      </c>
      <c r="F7" s="4">
        <f>IF(D7="","-",D7*E7)</f>
        <v/>
      </c>
      <c r="G7" s="5" t="n"/>
      <c r="H7" s="2" t="n"/>
    </row>
    <row r="8" ht="18" customHeight="1">
      <c r="A8" s="6" t="n"/>
      <c r="B8" s="6" t="n"/>
      <c r="C8" s="6" t="n"/>
      <c r="D8" s="6" t="n"/>
      <c r="E8" s="88" t="n"/>
      <c r="F8" s="8">
        <f>IF(D8="","-",D8*E8)</f>
        <v/>
      </c>
      <c r="G8" s="9" t="n"/>
      <c r="H8" s="6" t="n"/>
    </row>
    <row r="9" ht="18" customHeight="1">
      <c r="A9" s="2" t="n"/>
      <c r="B9" s="2" t="n"/>
      <c r="C9" s="2" t="n"/>
      <c r="D9" s="2" t="n"/>
      <c r="E9" s="87" t="n"/>
      <c r="F9" s="4">
        <f>IF(D9="","-",D9*E9)</f>
        <v/>
      </c>
      <c r="G9" s="5" t="n"/>
      <c r="H9" s="2" t="n"/>
    </row>
    <row r="10" ht="18" customHeight="1">
      <c r="A10" s="6" t="n"/>
      <c r="B10" s="6" t="n"/>
      <c r="C10" s="6" t="n"/>
      <c r="D10" s="6" t="n"/>
      <c r="E10" s="88" t="n"/>
      <c r="F10" s="8">
        <f>IF(D10="","-",D10*E10)</f>
        <v/>
      </c>
      <c r="G10" s="9" t="n"/>
      <c r="H10" s="6" t="n"/>
    </row>
    <row r="11" ht="19.5" customHeight="1">
      <c r="A11" s="93" t="inlineStr">
        <is>
          <t>Subtotal — 🎈 Inflatables</t>
        </is>
      </c>
      <c r="B11" s="163" t="n"/>
      <c r="C11" s="163" t="n"/>
      <c r="D11" s="163" t="n"/>
      <c r="E11" s="164" t="n"/>
      <c r="F11" s="10">
        <f>SUM(F5:F10)</f>
        <v/>
      </c>
      <c r="G11" s="11" t="n"/>
      <c r="H11" s="11" t="n"/>
    </row>
    <row r="12" ht="7.5" customHeight="1">
      <c r="A12" s="94" t="n"/>
    </row>
    <row r="13" ht="21.75" customHeight="1">
      <c r="A13" s="92" t="inlineStr">
        <is>
          <t xml:space="preserve">  ▸  🎮 Games &amp; Activities</t>
        </is>
      </c>
      <c r="B13" s="163" t="n"/>
      <c r="C13" s="163" t="n"/>
      <c r="D13" s="163" t="n"/>
      <c r="E13" s="163" t="n"/>
      <c r="F13" s="163" t="n"/>
      <c r="G13" s="163" t="n"/>
      <c r="H13" s="163" t="n"/>
    </row>
    <row r="14" ht="18" customHeight="1">
      <c r="A14" s="2" t="inlineStr">
        <is>
          <t>Games &amp; Activities</t>
        </is>
      </c>
      <c r="B14" s="2" t="inlineStr">
        <is>
          <t>Dunk Tank</t>
        </is>
      </c>
      <c r="C14" s="2" t="n"/>
      <c r="D14" s="2" t="n">
        <v>1</v>
      </c>
      <c r="E14" s="87" t="n">
        <v>449</v>
      </c>
      <c r="F14" s="4">
        <f>IF(D14="","-",D14*E14)</f>
        <v/>
      </c>
      <c r="G14" s="5" t="n"/>
      <c r="H14" s="2" t="n"/>
    </row>
    <row r="15" ht="18" customHeight="1">
      <c r="A15" s="6" t="n"/>
      <c r="B15" s="6" t="inlineStr">
        <is>
          <t>Wrecking Ball</t>
        </is>
      </c>
      <c r="C15" s="6" t="n"/>
      <c r="D15" s="6" t="n">
        <v>1</v>
      </c>
      <c r="E15" s="88" t="n">
        <v>599</v>
      </c>
      <c r="F15" s="8">
        <f>IF(D15="","-",D15*E15)</f>
        <v/>
      </c>
      <c r="G15" s="9" t="n"/>
      <c r="H15" s="6" t="n"/>
    </row>
    <row r="16" ht="18" customHeight="1">
      <c r="A16" s="2" t="n"/>
      <c r="B16" s="2" t="n"/>
      <c r="C16" s="2" t="n"/>
      <c r="D16" s="2" t="n"/>
      <c r="E16" s="87" t="n"/>
      <c r="F16" s="4">
        <f>IF(D16="","-",D16*E16)</f>
        <v/>
      </c>
      <c r="G16" s="5" t="n"/>
      <c r="H16" s="2" t="n"/>
    </row>
    <row r="17" ht="18" customHeight="1">
      <c r="A17" s="6" t="n"/>
      <c r="B17" s="6" t="n"/>
      <c r="C17" s="6" t="n"/>
      <c r="D17" s="6" t="n"/>
      <c r="E17" s="88" t="n"/>
      <c r="F17" s="8">
        <f>IF(D17="","-",D17*E17)</f>
        <v/>
      </c>
      <c r="G17" s="9" t="n"/>
      <c r="H17" s="6" t="n"/>
    </row>
    <row r="18" ht="18" customHeight="1">
      <c r="A18" s="2" t="n"/>
      <c r="B18" s="2" t="n"/>
      <c r="C18" s="2" t="n"/>
      <c r="D18" s="2" t="n"/>
      <c r="E18" s="87" t="n"/>
      <c r="F18" s="4">
        <f>IF(D18="","-",D18*E18)</f>
        <v/>
      </c>
      <c r="G18" s="5" t="n"/>
      <c r="H18" s="2" t="n"/>
    </row>
    <row r="19" ht="18" customHeight="1">
      <c r="A19" s="6" t="n"/>
      <c r="B19" s="6" t="n"/>
      <c r="C19" s="6" t="n"/>
      <c r="D19" s="6" t="n"/>
      <c r="E19" s="88" t="n"/>
      <c r="F19" s="8">
        <f>IF(D19="","-",D19*E19)</f>
        <v/>
      </c>
      <c r="G19" s="9" t="n"/>
      <c r="H19" s="6" t="n"/>
    </row>
    <row r="20" ht="19.5" customHeight="1">
      <c r="A20" s="93" t="inlineStr">
        <is>
          <t>Subtotal — 🎮 Games &amp; Activities</t>
        </is>
      </c>
      <c r="B20" s="163" t="n"/>
      <c r="C20" s="163" t="n"/>
      <c r="D20" s="163" t="n"/>
      <c r="E20" s="164" t="n"/>
      <c r="F20" s="10">
        <f>SUM(F14:F19)</f>
        <v/>
      </c>
      <c r="G20" s="11" t="n"/>
      <c r="H20" s="11" t="n"/>
    </row>
    <row r="21" ht="7.5" customHeight="1">
      <c r="A21" s="94" t="n"/>
    </row>
    <row r="22" ht="21.75" customHeight="1">
      <c r="A22" s="92" t="inlineStr">
        <is>
          <t xml:space="preserve">  ▸  🌸 Decorations</t>
        </is>
      </c>
      <c r="B22" s="163" t="n"/>
      <c r="C22" s="163" t="n"/>
      <c r="D22" s="163" t="n"/>
      <c r="E22" s="163" t="n"/>
      <c r="F22" s="163" t="n"/>
      <c r="G22" s="163" t="n"/>
      <c r="H22" s="163" t="n"/>
    </row>
    <row r="23" ht="18" customHeight="1">
      <c r="A23" s="2" t="inlineStr">
        <is>
          <t>Decorations</t>
        </is>
      </c>
      <c r="B23" s="2" t="n"/>
      <c r="C23" s="2" t="n"/>
      <c r="D23" s="2" t="n"/>
      <c r="E23" s="3" t="n"/>
      <c r="F23" s="4">
        <f>IF(D23="","-",D23*E23)</f>
        <v/>
      </c>
      <c r="G23" s="5" t="n"/>
      <c r="H23" s="2" t="n"/>
    </row>
    <row r="24" ht="18" customHeight="1">
      <c r="A24" s="6" t="n"/>
      <c r="B24" s="6" t="n"/>
      <c r="C24" s="6" t="n"/>
      <c r="D24" s="6" t="n"/>
      <c r="E24" s="7" t="n"/>
      <c r="F24" s="8">
        <f>IF(D24="","-",D24*E24)</f>
        <v/>
      </c>
      <c r="G24" s="9" t="n"/>
      <c r="H24" s="6" t="n"/>
    </row>
    <row r="25" ht="18" customHeight="1">
      <c r="A25" s="2" t="n"/>
      <c r="B25" s="2" t="n"/>
      <c r="C25" s="2" t="n"/>
      <c r="D25" s="2" t="n"/>
      <c r="E25" s="3" t="n"/>
      <c r="F25" s="4">
        <f>IF(D25="","-",D25*E25)</f>
        <v/>
      </c>
      <c r="G25" s="5" t="n"/>
      <c r="H25" s="2" t="n"/>
    </row>
    <row r="26" ht="18" customHeight="1">
      <c r="A26" s="6" t="n"/>
      <c r="B26" s="6" t="n"/>
      <c r="C26" s="6" t="n"/>
      <c r="D26" s="6" t="n"/>
      <c r="E26" s="7" t="n"/>
      <c r="F26" s="8">
        <f>IF(D26="","-",D26*E26)</f>
        <v/>
      </c>
      <c r="G26" s="9" t="n"/>
      <c r="H26" s="6" t="n"/>
    </row>
    <row r="27" ht="19.5" customHeight="1">
      <c r="A27" s="93" t="inlineStr">
        <is>
          <t>Subtotal — 🌸 Decorations</t>
        </is>
      </c>
      <c r="B27" s="163" t="n"/>
      <c r="C27" s="163" t="n"/>
      <c r="D27" s="163" t="n"/>
      <c r="E27" s="164" t="n"/>
      <c r="F27" s="10">
        <f>SUM(F23:F26)</f>
        <v/>
      </c>
      <c r="G27" s="11" t="n"/>
      <c r="H27" s="11" t="n"/>
    </row>
    <row r="28" ht="7.5" customHeight="1">
      <c r="A28" s="94" t="n"/>
    </row>
    <row r="29" ht="21.75" customHeight="1">
      <c r="A29" s="92" t="inlineStr">
        <is>
          <t xml:space="preserve">  ▸  🍔 Food &amp; Beverage – Dining Hall BBQ</t>
        </is>
      </c>
      <c r="B29" s="163" t="n"/>
      <c r="C29" s="163" t="n"/>
      <c r="D29" s="163" t="n"/>
      <c r="E29" s="163" t="n"/>
      <c r="F29" s="163" t="n"/>
      <c r="G29" s="163" t="n"/>
      <c r="H29" s="163" t="n"/>
    </row>
    <row r="30" ht="18" customHeight="1">
      <c r="A30" s="2" t="inlineStr">
        <is>
          <t>Food – Dining Hall</t>
        </is>
      </c>
      <c r="B30" s="2" t="n"/>
      <c r="C30" s="2" t="n"/>
      <c r="D30" s="2" t="n"/>
      <c r="E30" s="3" t="n"/>
      <c r="F30" s="4">
        <f>IF(D30="","-",D30*E30)</f>
        <v/>
      </c>
      <c r="G30" s="5" t="n"/>
      <c r="H30" s="2" t="n"/>
    </row>
    <row r="31" ht="18" customHeight="1">
      <c r="A31" s="6" t="n"/>
      <c r="B31" s="6" t="n"/>
      <c r="C31" s="6" t="n"/>
      <c r="D31" s="6" t="n"/>
      <c r="E31" s="7" t="n"/>
      <c r="F31" s="8">
        <f>IF(D31="","-",D31*E31)</f>
        <v/>
      </c>
      <c r="G31" s="9" t="n"/>
      <c r="H31" s="6" t="n"/>
    </row>
    <row r="32" ht="18" customHeight="1">
      <c r="A32" s="2" t="n"/>
      <c r="B32" s="2" t="n"/>
      <c r="C32" s="2" t="n"/>
      <c r="D32" s="2" t="n"/>
      <c r="E32" s="3" t="n"/>
      <c r="F32" s="4">
        <f>IF(D32="","-",D32*E32)</f>
        <v/>
      </c>
      <c r="G32" s="5" t="n"/>
      <c r="H32" s="2" t="n"/>
    </row>
    <row r="33" ht="18" customHeight="1">
      <c r="A33" s="6" t="n"/>
      <c r="B33" s="6" t="n"/>
      <c r="C33" s="6" t="n"/>
      <c r="D33" s="6" t="n"/>
      <c r="E33" s="7" t="n"/>
      <c r="F33" s="8">
        <f>IF(D33="","-",D33*E33)</f>
        <v/>
      </c>
      <c r="G33" s="9" t="n"/>
      <c r="H33" s="6" t="n"/>
    </row>
    <row r="34" ht="18" customHeight="1">
      <c r="A34" s="2" t="n"/>
      <c r="B34" s="2" t="n"/>
      <c r="C34" s="2" t="n"/>
      <c r="D34" s="2" t="n"/>
      <c r="E34" s="3" t="n"/>
      <c r="F34" s="4">
        <f>IF(D34="","-",D34*E34)</f>
        <v/>
      </c>
      <c r="G34" s="5" t="n"/>
      <c r="H34" s="2" t="n"/>
    </row>
    <row r="35" ht="18" customHeight="1">
      <c r="A35" s="6" t="n"/>
      <c r="B35" s="6" t="n"/>
      <c r="C35" s="6" t="n"/>
      <c r="D35" s="6" t="n"/>
      <c r="E35" s="7" t="n"/>
      <c r="F35" s="8">
        <f>IF(D35="","-",D35*E35)</f>
        <v/>
      </c>
      <c r="G35" s="9" t="n"/>
      <c r="H35" s="6" t="n"/>
    </row>
    <row r="36" ht="19.5" customHeight="1">
      <c r="A36" s="93" t="inlineStr">
        <is>
          <t>Subtotal — 🍔 Food &amp; Beverage – Dining Hall BBQ</t>
        </is>
      </c>
      <c r="B36" s="163" t="n"/>
      <c r="C36" s="163" t="n"/>
      <c r="D36" s="163" t="n"/>
      <c r="E36" s="164" t="n"/>
      <c r="F36" s="10">
        <f>SUM(F30:F35)</f>
        <v/>
      </c>
      <c r="G36" s="11" t="n"/>
      <c r="H36" s="11" t="n"/>
    </row>
    <row r="37" ht="7.5" customHeight="1">
      <c r="A37" s="94" t="n"/>
    </row>
    <row r="38" ht="21.75" customHeight="1">
      <c r="A38" s="92" t="inlineStr">
        <is>
          <t xml:space="preserve">  ▸  🍿 Food &amp; Beverage – Additional Items</t>
        </is>
      </c>
      <c r="B38" s="163" t="n"/>
      <c r="C38" s="163" t="n"/>
      <c r="D38" s="163" t="n"/>
      <c r="E38" s="163" t="n"/>
      <c r="F38" s="163" t="n"/>
      <c r="G38" s="163" t="n"/>
      <c r="H38" s="163" t="n"/>
    </row>
    <row r="39" ht="18" customHeight="1">
      <c r="A39" s="2" t="inlineStr">
        <is>
          <t>Food – Additional</t>
        </is>
      </c>
      <c r="B39" s="2" t="inlineStr">
        <is>
          <t>Snowcone Machine</t>
        </is>
      </c>
      <c r="C39" s="2" t="n"/>
      <c r="D39" s="2" t="n">
        <v>2</v>
      </c>
      <c r="E39" s="87" t="n">
        <v>125</v>
      </c>
      <c r="F39" s="4">
        <f>IF(D39="","-",D39*E39)</f>
        <v/>
      </c>
      <c r="G39" s="5" t="n"/>
      <c r="H39" s="2" t="n"/>
    </row>
    <row r="40" ht="18" customHeight="1">
      <c r="A40" s="6" t="n"/>
      <c r="B40" s="6" t="inlineStr">
        <is>
          <t>Snowcone Servings</t>
        </is>
      </c>
      <c r="C40" s="6" t="n"/>
      <c r="D40" s="6" t="n">
        <v>500</v>
      </c>
      <c r="E40" s="88" t="n">
        <v>0.7</v>
      </c>
      <c r="F40" s="8">
        <f>IF(D40="","-",D40*E40)</f>
        <v/>
      </c>
      <c r="G40" s="9" t="n"/>
      <c r="H40" s="6" t="n"/>
    </row>
    <row r="41" ht="18" customHeight="1">
      <c r="A41" s="2" t="n"/>
      <c r="B41" s="2" t="inlineStr">
        <is>
          <t>Freezies</t>
        </is>
      </c>
      <c r="C41" s="2" t="n"/>
      <c r="D41" s="2" t="n">
        <v>1</v>
      </c>
      <c r="E41" s="87" t="n">
        <v>300</v>
      </c>
      <c r="F41" s="4">
        <f>IF(D41="","-",D41*E41)</f>
        <v/>
      </c>
      <c r="G41" s="5" t="n"/>
      <c r="H41" s="2" t="n"/>
    </row>
    <row r="42" ht="18" customHeight="1">
      <c r="A42" s="6" t="n"/>
      <c r="B42" s="6" t="n"/>
      <c r="C42" s="6" t="n"/>
      <c r="D42" s="6" t="n"/>
      <c r="E42" s="88" t="n"/>
      <c r="F42" s="8">
        <f>IF(D42="","-",D42*E42)</f>
        <v/>
      </c>
      <c r="G42" s="9" t="n"/>
      <c r="H42" s="6" t="n"/>
    </row>
    <row r="43" ht="18" customHeight="1">
      <c r="A43" s="2" t="n"/>
      <c r="B43" s="2" t="n"/>
      <c r="C43" s="2" t="n"/>
      <c r="D43" s="2" t="n"/>
      <c r="E43" s="87" t="n"/>
      <c r="F43" s="4">
        <f>IF(D43="","-",D43*E43)</f>
        <v/>
      </c>
      <c r="G43" s="5" t="n"/>
      <c r="H43" s="2" t="n"/>
    </row>
    <row r="44" ht="18" customHeight="1">
      <c r="A44" s="6" t="n"/>
      <c r="B44" s="6" t="n"/>
      <c r="C44" s="6" t="n"/>
      <c r="D44" s="6" t="n"/>
      <c r="E44" s="88" t="n"/>
      <c r="F44" s="8">
        <f>IF(D44="","-",D44*E44)</f>
        <v/>
      </c>
      <c r="G44" s="9" t="n"/>
      <c r="H44" s="6" t="n"/>
    </row>
    <row r="45" ht="19.5" customHeight="1">
      <c r="A45" s="93" t="inlineStr">
        <is>
          <t>Subtotal — 🍿 Food &amp; Beverage – Additional Items</t>
        </is>
      </c>
      <c r="B45" s="163" t="n"/>
      <c r="C45" s="163" t="n"/>
      <c r="D45" s="163" t="n"/>
      <c r="E45" s="164" t="n"/>
      <c r="F45" s="10">
        <f>SUM(F39:F44)</f>
        <v/>
      </c>
      <c r="G45" s="11" t="n"/>
      <c r="H45" s="11" t="n"/>
    </row>
    <row r="46" ht="7.5" customHeight="1">
      <c r="A46" s="94" t="n"/>
    </row>
    <row r="47" ht="21.75" customHeight="1">
      <c r="A47" s="92" t="inlineStr">
        <is>
          <t xml:space="preserve">  ▸  👑 VIP Zone</t>
        </is>
      </c>
      <c r="B47" s="163" t="n"/>
      <c r="C47" s="163" t="n"/>
      <c r="D47" s="163" t="n"/>
      <c r="E47" s="163" t="n"/>
      <c r="F47" s="163" t="n"/>
      <c r="G47" s="163" t="n"/>
      <c r="H47" s="163" t="n"/>
    </row>
    <row r="48" ht="18" customHeight="1">
      <c r="A48" s="2" t="inlineStr">
        <is>
          <t>VIP Zone</t>
        </is>
      </c>
      <c r="B48" s="2" t="n"/>
      <c r="C48" s="2" t="n"/>
      <c r="D48" s="2" t="n"/>
      <c r="E48" s="3" t="n"/>
      <c r="F48" s="4">
        <f>IF(D48="","-",D48*E48)</f>
        <v/>
      </c>
      <c r="G48" s="5" t="n"/>
      <c r="H48" s="2" t="n"/>
    </row>
    <row r="49" ht="18" customHeight="1">
      <c r="A49" s="6" t="n"/>
      <c r="B49" s="6" t="n"/>
      <c r="C49" s="6" t="n"/>
      <c r="D49" s="6" t="n"/>
      <c r="E49" s="7" t="n"/>
      <c r="F49" s="8">
        <f>IF(D49="","-",D49*E49)</f>
        <v/>
      </c>
      <c r="G49" s="9" t="n"/>
      <c r="H49" s="6" t="n"/>
    </row>
    <row r="50" ht="18" customHeight="1">
      <c r="A50" s="2" t="n"/>
      <c r="B50" s="2" t="n"/>
      <c r="C50" s="2" t="n"/>
      <c r="D50" s="2" t="n"/>
      <c r="E50" s="3" t="n"/>
      <c r="F50" s="4">
        <f>IF(D50="","-",D50*E50)</f>
        <v/>
      </c>
      <c r="G50" s="5" t="n"/>
      <c r="H50" s="2" t="n"/>
    </row>
    <row r="51" ht="18" customHeight="1">
      <c r="A51" s="6" t="n"/>
      <c r="B51" s="6" t="n"/>
      <c r="C51" s="6" t="n"/>
      <c r="D51" s="6" t="n"/>
      <c r="E51" s="7" t="n"/>
      <c r="F51" s="8">
        <f>IF(D51="","-",D51*E51)</f>
        <v/>
      </c>
      <c r="G51" s="9" t="n"/>
      <c r="H51" s="6" t="n"/>
    </row>
    <row r="52" ht="19.5" customHeight="1">
      <c r="A52" s="93" t="inlineStr">
        <is>
          <t>Subtotal — 👑 VIP Zone</t>
        </is>
      </c>
      <c r="B52" s="163" t="n"/>
      <c r="C52" s="163" t="n"/>
      <c r="D52" s="163" t="n"/>
      <c r="E52" s="164" t="n"/>
      <c r="F52" s="10">
        <f>SUM(F48:F51)</f>
        <v/>
      </c>
      <c r="G52" s="11" t="n"/>
      <c r="H52" s="11" t="n"/>
    </row>
    <row r="53" ht="7.5" customHeight="1">
      <c r="A53" s="94" t="n"/>
    </row>
    <row r="54" ht="21.75" customHeight="1">
      <c r="A54" s="92" t="inlineStr">
        <is>
          <t xml:space="preserve">  ▸  🎵 Music / DJ Services</t>
        </is>
      </c>
      <c r="B54" s="163" t="n"/>
      <c r="C54" s="163" t="n"/>
      <c r="D54" s="163" t="n"/>
      <c r="E54" s="163" t="n"/>
      <c r="F54" s="163" t="n"/>
      <c r="G54" s="163" t="n"/>
      <c r="H54" s="163" t="n"/>
    </row>
    <row r="55" ht="18" customHeight="1">
      <c r="A55" s="2" t="inlineStr">
        <is>
          <t>Music / DJ</t>
        </is>
      </c>
      <c r="B55" s="2" t="n"/>
      <c r="C55" s="2" t="n"/>
      <c r="D55" s="2" t="n"/>
      <c r="E55" s="3" t="n"/>
      <c r="F55" s="4">
        <f>IF(D55="","-",D55*E55)</f>
        <v/>
      </c>
      <c r="G55" s="5" t="n"/>
      <c r="H55" s="2" t="n"/>
    </row>
    <row r="56" ht="18" customHeight="1">
      <c r="A56" s="6" t="n"/>
      <c r="B56" s="6" t="n"/>
      <c r="C56" s="6" t="n"/>
      <c r="D56" s="6" t="n"/>
      <c r="E56" s="7" t="n"/>
      <c r="F56" s="8">
        <f>IF(D56="","-",D56*E56)</f>
        <v/>
      </c>
      <c r="G56" s="9" t="n"/>
      <c r="H56" s="6" t="n"/>
    </row>
    <row r="57" ht="18" customHeight="1">
      <c r="A57" s="2" t="n"/>
      <c r="B57" s="2" t="n"/>
      <c r="C57" s="2" t="n"/>
      <c r="D57" s="2" t="n"/>
      <c r="E57" s="3" t="n"/>
      <c r="F57" s="4">
        <f>IF(D57="","-",D57*E57)</f>
        <v/>
      </c>
      <c r="G57" s="5" t="n"/>
      <c r="H57" s="2" t="n"/>
    </row>
    <row r="58" ht="18" customHeight="1">
      <c r="A58" s="6" t="n"/>
      <c r="B58" s="6" t="n"/>
      <c r="C58" s="6" t="n"/>
      <c r="D58" s="6" t="n"/>
      <c r="E58" s="7" t="n"/>
      <c r="F58" s="8">
        <f>IF(D58="","-",D58*E58)</f>
        <v/>
      </c>
      <c r="G58" s="9" t="n"/>
      <c r="H58" s="6" t="n"/>
    </row>
    <row r="59" ht="19.5" customHeight="1">
      <c r="A59" s="93" t="inlineStr">
        <is>
          <t>Subtotal — 🎵 Music / DJ Services</t>
        </is>
      </c>
      <c r="B59" s="163" t="n"/>
      <c r="C59" s="163" t="n"/>
      <c r="D59" s="163" t="n"/>
      <c r="E59" s="164" t="n"/>
      <c r="F59" s="10">
        <f>SUM(F55:F58)</f>
        <v/>
      </c>
      <c r="G59" s="11" t="n"/>
      <c r="H59" s="11" t="n"/>
    </row>
    <row r="60" ht="7.5" customHeight="1">
      <c r="A60" s="94" t="n"/>
    </row>
    <row r="61" ht="21.75" customHeight="1">
      <c r="A61" s="92" t="inlineStr">
        <is>
          <t xml:space="preserve">  ▸  🏅 Sports Equipment</t>
        </is>
      </c>
      <c r="B61" s="163" t="n"/>
      <c r="C61" s="163" t="n"/>
      <c r="D61" s="163" t="n"/>
      <c r="E61" s="163" t="n"/>
      <c r="F61" s="163" t="n"/>
      <c r="G61" s="163" t="n"/>
      <c r="H61" s="163" t="n"/>
    </row>
    <row r="62" ht="18" customHeight="1">
      <c r="A62" s="2" t="inlineStr">
        <is>
          <t>Sports Equipment</t>
        </is>
      </c>
      <c r="B62" s="2" t="n"/>
      <c r="C62" s="2" t="n"/>
      <c r="D62" s="2" t="n"/>
      <c r="E62" s="3" t="n"/>
      <c r="F62" s="4">
        <f>IF(D62="","-",D62*E62)</f>
        <v/>
      </c>
      <c r="G62" s="5" t="n"/>
      <c r="H62" s="2" t="n"/>
    </row>
    <row r="63" ht="18" customHeight="1">
      <c r="A63" s="6" t="n"/>
      <c r="B63" s="6" t="n"/>
      <c r="C63" s="6" t="n"/>
      <c r="D63" s="6" t="n"/>
      <c r="E63" s="7" t="n"/>
      <c r="F63" s="8">
        <f>IF(D63="","-",D63*E63)</f>
        <v/>
      </c>
      <c r="G63" s="9" t="n"/>
      <c r="H63" s="6" t="n"/>
    </row>
    <row r="64" ht="18" customHeight="1">
      <c r="A64" s="2" t="n"/>
      <c r="B64" s="2" t="n"/>
      <c r="C64" s="2" t="n"/>
      <c r="D64" s="2" t="n"/>
      <c r="E64" s="3" t="n"/>
      <c r="F64" s="4">
        <f>IF(D64="","-",D64*E64)</f>
        <v/>
      </c>
      <c r="G64" s="5" t="n"/>
      <c r="H64" s="2" t="n"/>
    </row>
    <row r="65" ht="18" customHeight="1">
      <c r="A65" s="6" t="n"/>
      <c r="B65" s="6" t="n"/>
      <c r="C65" s="6" t="n"/>
      <c r="D65" s="6" t="n"/>
      <c r="E65" s="7" t="n"/>
      <c r="F65" s="8">
        <f>IF(D65="","-",D65*E65)</f>
        <v/>
      </c>
      <c r="G65" s="9" t="n"/>
      <c r="H65" s="6" t="n"/>
    </row>
    <row r="66" ht="18" customHeight="1">
      <c r="A66" s="2" t="n"/>
      <c r="B66" s="2" t="n"/>
      <c r="C66" s="2" t="n"/>
      <c r="D66" s="2" t="n"/>
      <c r="E66" s="3" t="n"/>
      <c r="F66" s="4">
        <f>IF(D66="","-",D66*E66)</f>
        <v/>
      </c>
      <c r="G66" s="5" t="n"/>
      <c r="H66" s="2" t="n"/>
    </row>
    <row r="67" ht="18" customHeight="1">
      <c r="A67" s="6" t="n"/>
      <c r="B67" s="6" t="n"/>
      <c r="C67" s="6" t="n"/>
      <c r="D67" s="6" t="n"/>
      <c r="E67" s="7" t="n"/>
      <c r="F67" s="8">
        <f>IF(D67="","-",D67*E67)</f>
        <v/>
      </c>
      <c r="G67" s="9" t="n"/>
      <c r="H67" s="6" t="n"/>
    </row>
    <row r="68" ht="18" customHeight="1">
      <c r="A68" s="2" t="n"/>
      <c r="B68" s="2" t="n"/>
      <c r="C68" s="89" t="n"/>
      <c r="D68" s="2" t="n"/>
      <c r="E68" s="3" t="n"/>
      <c r="F68" s="4">
        <f>IF(D68="","-",D68*E68)</f>
        <v/>
      </c>
      <c r="G68" s="5" t="n"/>
      <c r="H68" s="2" t="n"/>
    </row>
    <row r="69" ht="18" customHeight="1">
      <c r="A69" s="6" t="n"/>
      <c r="B69" s="6" t="n"/>
      <c r="C69" s="6" t="n"/>
      <c r="D69" s="6" t="n"/>
      <c r="E69" s="7" t="n"/>
      <c r="F69" s="8">
        <f>IF(D69="","-",D69*E69)</f>
        <v/>
      </c>
      <c r="G69" s="9" t="n"/>
      <c r="H69" s="6" t="n"/>
    </row>
    <row r="70" ht="19.5" customHeight="1">
      <c r="A70" s="93" t="inlineStr">
        <is>
          <t>Subtotal — 🏅 Sports Equipment</t>
        </is>
      </c>
      <c r="B70" s="163" t="n"/>
      <c r="C70" s="163" t="n"/>
      <c r="D70" s="163" t="n"/>
      <c r="E70" s="164" t="n"/>
      <c r="F70" s="10">
        <f>SUM(F62:F69)</f>
        <v/>
      </c>
      <c r="G70" s="11" t="n"/>
      <c r="H70" s="11" t="n"/>
    </row>
    <row r="71" ht="7.5" customHeight="1">
      <c r="A71" s="94" t="n"/>
    </row>
    <row r="72" ht="21.75" customHeight="1">
      <c r="A72" s="92" t="inlineStr">
        <is>
          <t xml:space="preserve">  ▸  ⚡ Utilities &amp; Equipment</t>
        </is>
      </c>
      <c r="B72" s="163" t="n"/>
      <c r="C72" s="163" t="n"/>
      <c r="D72" s="163" t="n"/>
      <c r="E72" s="163" t="n"/>
      <c r="F72" s="163" t="n"/>
      <c r="G72" s="163" t="n"/>
      <c r="H72" s="163" t="n"/>
    </row>
    <row r="73" ht="18" customHeight="1">
      <c r="A73" s="2" t="inlineStr">
        <is>
          <t>Utilities</t>
        </is>
      </c>
      <c r="B73" s="2" t="inlineStr">
        <is>
          <t>Generators</t>
        </is>
      </c>
      <c r="C73" s="2" t="n"/>
      <c r="D73" s="2" t="n">
        <v>5</v>
      </c>
      <c r="E73" s="87" t="n">
        <v>189</v>
      </c>
      <c r="F73" s="4">
        <f>IF(D73="","-",D73*E73)</f>
        <v/>
      </c>
      <c r="G73" s="5" t="n"/>
      <c r="H73" s="2" t="n"/>
    </row>
    <row r="74" ht="18" customHeight="1">
      <c r="A74" s="6" t="n"/>
      <c r="B74" s="2" t="inlineStr">
        <is>
          <t>Rain Day Fee</t>
        </is>
      </c>
      <c r="C74" s="6" t="n"/>
      <c r="D74" s="2" t="n">
        <v>1</v>
      </c>
      <c r="E74" s="87" t="n">
        <v>900</v>
      </c>
      <c r="F74" s="8">
        <f>IF(D74="","-",D74*E74)</f>
        <v/>
      </c>
      <c r="G74" s="9" t="n"/>
      <c r="H74" s="6" t="n"/>
    </row>
    <row r="75" ht="18" customHeight="1">
      <c r="A75" s="2" t="n"/>
      <c r="B75" s="2" t="n"/>
      <c r="C75" s="2" t="n"/>
      <c r="D75" s="2" t="n"/>
      <c r="E75" s="87" t="n"/>
      <c r="F75" s="4">
        <f>IF(D75="","-",D75*E75)</f>
        <v/>
      </c>
      <c r="G75" s="5" t="n"/>
      <c r="H75" s="2" t="n"/>
    </row>
    <row r="76" ht="18" customHeight="1">
      <c r="A76" s="6" t="n"/>
      <c r="B76" s="6" t="n"/>
      <c r="C76" s="6" t="n"/>
      <c r="D76" s="6" t="n"/>
      <c r="E76" s="88" t="n"/>
      <c r="F76" s="8">
        <f>IF(D76="","-",D76*E76)</f>
        <v/>
      </c>
      <c r="G76" s="9" t="n"/>
      <c r="H76" s="6" t="n"/>
    </row>
    <row r="77" ht="18" customHeight="1">
      <c r="A77" s="2" t="n"/>
      <c r="B77" s="2" t="n"/>
      <c r="C77" s="2" t="n"/>
      <c r="D77" s="2" t="n"/>
      <c r="E77" s="87" t="n"/>
      <c r="F77" s="4">
        <f>IF(D77="","-",D77*E77)</f>
        <v/>
      </c>
      <c r="G77" s="5" t="n"/>
      <c r="H77" s="2" t="n"/>
    </row>
    <row r="78" ht="19.5" customHeight="1">
      <c r="A78" s="93" t="inlineStr">
        <is>
          <t>Subtotal — ⚡ Utilities &amp; Equipment</t>
        </is>
      </c>
      <c r="B78" s="163" t="n"/>
      <c r="C78" s="163" t="n"/>
      <c r="D78" s="163" t="n"/>
      <c r="E78" s="164" t="n"/>
      <c r="F78" s="10">
        <f>SUM(F73:F77)</f>
        <v/>
      </c>
      <c r="G78" s="11" t="n"/>
      <c r="H78" s="11" t="n"/>
    </row>
    <row r="79" ht="7.5" customHeight="1">
      <c r="A79" s="94" t="n"/>
    </row>
    <row r="80" ht="21.75" customHeight="1">
      <c r="A80" s="92" t="inlineStr">
        <is>
          <t xml:space="preserve">  ▸  🔧 Setup &amp; Tear-Down</t>
        </is>
      </c>
      <c r="B80" s="163" t="n"/>
      <c r="C80" s="163" t="n"/>
      <c r="D80" s="163" t="n"/>
      <c r="E80" s="163" t="n"/>
      <c r="F80" s="163" t="n"/>
      <c r="G80" s="163" t="n"/>
      <c r="H80" s="163" t="n"/>
    </row>
    <row r="81" ht="18" customHeight="1">
      <c r="A81" s="2" t="inlineStr">
        <is>
          <t>Setup / Tear-Down</t>
        </is>
      </c>
      <c r="B81" s="2" t="n"/>
      <c r="C81" s="2" t="n"/>
      <c r="D81" s="2" t="n"/>
      <c r="E81" s="3" t="n"/>
      <c r="F81" s="4">
        <f>IF(D81="","-",D81*E81)</f>
        <v/>
      </c>
      <c r="G81" s="5" t="n"/>
      <c r="H81" s="2" t="n"/>
    </row>
    <row r="82" ht="18" customHeight="1">
      <c r="A82" s="6" t="n"/>
      <c r="B82" s="6" t="n"/>
      <c r="C82" s="6" t="n"/>
      <c r="D82" s="6" t="n"/>
      <c r="E82" s="7" t="n"/>
      <c r="F82" s="8">
        <f>IF(D82="","-",D82*E82)</f>
        <v/>
      </c>
      <c r="G82" s="9" t="n"/>
      <c r="H82" s="6" t="n"/>
    </row>
    <row r="83" ht="18" customHeight="1">
      <c r="A83" s="2" t="n"/>
      <c r="B83" s="2" t="n"/>
      <c r="C83" s="2" t="n"/>
      <c r="D83" s="2" t="n"/>
      <c r="E83" s="3" t="n"/>
      <c r="F83" s="4">
        <f>IF(D83="","-",D83*E83)</f>
        <v/>
      </c>
      <c r="G83" s="5" t="n"/>
      <c r="H83" s="2" t="n"/>
    </row>
    <row r="84" ht="18" customHeight="1">
      <c r="A84" s="6" t="n"/>
      <c r="B84" s="6" t="n"/>
      <c r="C84" s="6" t="n"/>
      <c r="D84" s="6" t="n"/>
      <c r="E84" s="7" t="n"/>
      <c r="F84" s="8">
        <f>IF(D84="","-",D84*E84)</f>
        <v/>
      </c>
      <c r="G84" s="9" t="n"/>
      <c r="H84" s="6" t="n"/>
    </row>
    <row r="85" ht="19.5" customHeight="1">
      <c r="A85" s="93" t="inlineStr">
        <is>
          <t>Subtotal — 🔧 Setup &amp; Tear-Down</t>
        </is>
      </c>
      <c r="B85" s="163" t="n"/>
      <c r="C85" s="163" t="n"/>
      <c r="D85" s="163" t="n"/>
      <c r="E85" s="164" t="n"/>
      <c r="F85" s="10">
        <f>SUM(F81:F84)</f>
        <v/>
      </c>
      <c r="G85" s="11" t="n"/>
      <c r="H85" s="11" t="n"/>
    </row>
    <row r="86" ht="7.5" customHeight="1">
      <c r="A86" s="94" t="n"/>
    </row>
    <row r="87" ht="21.75" customHeight="1">
      <c r="A87" s="92" t="inlineStr">
        <is>
          <t xml:space="preserve">  ▸  💊 Health &amp; Safety (Water/Sunscreen/Physio/Shade)</t>
        </is>
      </c>
      <c r="B87" s="163" t="n"/>
      <c r="C87" s="163" t="n"/>
      <c r="D87" s="163" t="n"/>
      <c r="E87" s="163" t="n"/>
      <c r="F87" s="163" t="n"/>
      <c r="G87" s="163" t="n"/>
      <c r="H87" s="163" t="n"/>
    </row>
    <row r="88" ht="18" customHeight="1">
      <c r="A88" s="2" t="inlineStr">
        <is>
          <t>Health &amp; Safety</t>
        </is>
      </c>
      <c r="B88" s="2" t="n"/>
      <c r="C88" s="2" t="n"/>
      <c r="D88" s="2" t="n"/>
      <c r="E88" s="3" t="n"/>
      <c r="F88" s="4">
        <f>IF(D88="","-",D88*E88)</f>
        <v/>
      </c>
      <c r="G88" s="5" t="n"/>
      <c r="H88" s="2" t="n"/>
    </row>
    <row r="89" ht="18" customHeight="1">
      <c r="A89" s="6" t="n"/>
      <c r="B89" s="6" t="n"/>
      <c r="C89" s="6" t="n"/>
      <c r="D89" s="6" t="n"/>
      <c r="E89" s="7" t="n"/>
      <c r="F89" s="8">
        <f>IF(D89="","-",D89*E89)</f>
        <v/>
      </c>
      <c r="G89" s="9" t="n"/>
      <c r="H89" s="6" t="n"/>
    </row>
    <row r="90" ht="18" customHeight="1">
      <c r="A90" s="2" t="n"/>
      <c r="B90" s="2" t="n"/>
      <c r="C90" s="2" t="n"/>
      <c r="D90" s="2" t="n"/>
      <c r="E90" s="3" t="n"/>
      <c r="F90" s="4">
        <f>IF(D90="","-",D90*E90)</f>
        <v/>
      </c>
      <c r="G90" s="5" t="n"/>
      <c r="H90" s="2" t="n"/>
    </row>
    <row r="91" ht="18" customHeight="1">
      <c r="A91" s="6" t="n"/>
      <c r="B91" s="6" t="n"/>
      <c r="C91" s="6" t="n"/>
      <c r="D91" s="6" t="n"/>
      <c r="E91" s="7" t="n"/>
      <c r="F91" s="8">
        <f>IF(D91="","-",D91*E91)</f>
        <v/>
      </c>
      <c r="G91" s="9" t="n"/>
      <c r="H91" s="6" t="n"/>
    </row>
    <row r="92" ht="19.5" customHeight="1">
      <c r="A92" s="93" t="inlineStr">
        <is>
          <t>Subtotal — 💊 Health &amp; Safety (Water/Sunscreen/Physio/Shade)</t>
        </is>
      </c>
      <c r="B92" s="163" t="n"/>
      <c r="C92" s="163" t="n"/>
      <c r="D92" s="163" t="n"/>
      <c r="E92" s="164" t="n"/>
      <c r="F92" s="10">
        <f>SUM(F88:F91)</f>
        <v/>
      </c>
      <c r="G92" s="11" t="n"/>
      <c r="H92" s="11" t="n"/>
    </row>
    <row r="93" ht="7.5" customHeight="1">
      <c r="A93" s="94" t="n"/>
    </row>
    <row r="94" ht="24" customHeight="1">
      <c r="A94" s="95" t="inlineStr">
        <is>
          <t>🔶  OPERATIONS GRAND TOTAL</t>
        </is>
      </c>
      <c r="B94" s="163" t="n"/>
      <c r="C94" s="163" t="n"/>
      <c r="D94" s="163" t="n"/>
      <c r="E94" s="164" t="n"/>
      <c r="F94" s="12">
        <f>F11+F20+F27+F36+F45+F52+F59+F70+F78+F85+F92</f>
        <v/>
      </c>
      <c r="G94" s="13" t="n"/>
      <c r="H94" s="13" t="n"/>
    </row>
    <row r="96" ht="15" customHeight="1">
      <c r="A96" s="96" t="inlineStr">
        <is>
          <t>📌  LEGEND:  Blue text = Input cells (enter your data here)  |  Black text = Auto-calculated formulas  |  Gold rows = Subtotals  |  Orange rows = Grand Total</t>
        </is>
      </c>
      <c r="B96" s="163" t="n"/>
      <c r="C96" s="163" t="n"/>
      <c r="D96" s="163" t="n"/>
      <c r="E96" s="163" t="n"/>
      <c r="F96" s="163" t="n"/>
      <c r="G96" s="163" t="n"/>
      <c r="H96" s="163" t="n"/>
    </row>
  </sheetData>
  <mergeCells count="37">
    <mergeCell ref="A59:E59"/>
    <mergeCell ref="A11:E11"/>
    <mergeCell ref="A60:H60"/>
    <mergeCell ref="A45:E45"/>
    <mergeCell ref="A94:E94"/>
    <mergeCell ref="A36:E36"/>
    <mergeCell ref="A1:H1"/>
    <mergeCell ref="A79:H79"/>
    <mergeCell ref="A61:H61"/>
    <mergeCell ref="A70:E70"/>
    <mergeCell ref="A78:E78"/>
    <mergeCell ref="A87:H87"/>
    <mergeCell ref="A54:H54"/>
    <mergeCell ref="A80:H80"/>
    <mergeCell ref="A46:H46"/>
    <mergeCell ref="A37:H37"/>
    <mergeCell ref="A27:E27"/>
    <mergeCell ref="A12:H12"/>
    <mergeCell ref="A21:H21"/>
    <mergeCell ref="A86:H86"/>
    <mergeCell ref="A71:H71"/>
    <mergeCell ref="A2:H2"/>
    <mergeCell ref="A85:E85"/>
    <mergeCell ref="A47:H47"/>
    <mergeCell ref="A22:H22"/>
    <mergeCell ref="A4:H4"/>
    <mergeCell ref="A53:H53"/>
    <mergeCell ref="A20:E20"/>
    <mergeCell ref="A29:H29"/>
    <mergeCell ref="A52:E52"/>
    <mergeCell ref="A96:H96"/>
    <mergeCell ref="A38:H38"/>
    <mergeCell ref="A72:H72"/>
    <mergeCell ref="A28:H28"/>
    <mergeCell ref="A13:H13"/>
    <mergeCell ref="A93:H93"/>
    <mergeCell ref="A92:E9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zoomScaleNormal="100" workbookViewId="0">
      <pane ySplit="3" topLeftCell="A4" activePane="bottomLeft" state="frozen"/>
      <selection pane="bottomLeft" activeCell="A1" sqref="A1:H1"/>
    </sheetView>
  </sheetViews>
  <sheetFormatPr baseColWidth="8" defaultColWidth="8.6640625" defaultRowHeight="14.4"/>
  <cols>
    <col width="24" customWidth="1" min="1" max="1"/>
    <col width="30" customWidth="1" min="2" max="2"/>
    <col width="24" customWidth="1" min="3" max="3"/>
    <col width="8" customWidth="1" min="4" max="4"/>
    <col width="16" customWidth="1" min="5" max="6"/>
    <col width="14" customWidth="1" min="7" max="7"/>
    <col width="28" customWidth="1" min="8" max="8"/>
  </cols>
  <sheetData>
    <row r="1" ht="36" customHeight="1">
      <c r="A1" s="97" t="inlineStr">
        <is>
          <t>🎪  SpringSmash 2026 — Marketing &amp; Sponsorship Budget</t>
        </is>
      </c>
      <c r="B1" s="163" t="n"/>
      <c r="C1" s="163" t="n"/>
      <c r="D1" s="163" t="n"/>
      <c r="E1" s="163" t="n"/>
      <c r="F1" s="163" t="n"/>
      <c r="G1" s="163" t="n"/>
      <c r="H1" s="163" t="n"/>
    </row>
    <row r="2" ht="39.75" customHeight="1">
      <c r="A2" s="91" t="inlineStr">
        <is>
          <t>Department: Marketing Team  |  Event Date: May 14, 2026  |  Last Updated: ___________  |  Prepared By: ___________</t>
        </is>
      </c>
      <c r="B2" s="163" t="n"/>
      <c r="C2" s="163" t="n"/>
      <c r="D2" s="163" t="n"/>
      <c r="E2" s="163" t="n"/>
      <c r="F2" s="163" t="n"/>
      <c r="G2" s="163" t="n"/>
      <c r="H2" s="163" t="n"/>
    </row>
    <row r="3" ht="30" customHeight="1">
      <c r="A3" s="14" t="inlineStr">
        <is>
          <t>Category</t>
        </is>
      </c>
      <c r="B3" s="14" t="inlineStr">
        <is>
          <t>Item / Description</t>
        </is>
      </c>
      <c r="C3" s="14" t="inlineStr">
        <is>
          <t>Vendor / Source</t>
        </is>
      </c>
      <c r="D3" s="14" t="inlineStr">
        <is>
          <t>Qty</t>
        </is>
      </c>
      <c r="E3" s="14" t="inlineStr">
        <is>
          <t>Cost per Unit ($)</t>
        </is>
      </c>
      <c r="F3" s="14" t="inlineStr">
        <is>
          <t>Total Cost ($)</t>
        </is>
      </c>
      <c r="G3" s="14" t="inlineStr">
        <is>
          <t>Status</t>
        </is>
      </c>
      <c r="H3" s="14" t="inlineStr">
        <is>
          <t>Notes</t>
        </is>
      </c>
    </row>
    <row r="4" ht="21.75" customHeight="1">
      <c r="A4" s="98" t="inlineStr">
        <is>
          <t xml:space="preserve">  ▸  🎨 Branding (Logo / Theme / Slogan)</t>
        </is>
      </c>
      <c r="B4" s="163" t="n"/>
      <c r="C4" s="163" t="n"/>
      <c r="D4" s="163" t="n"/>
      <c r="E4" s="163" t="n"/>
      <c r="F4" s="163" t="n"/>
      <c r="G4" s="163" t="n"/>
      <c r="H4" s="163" t="n"/>
    </row>
    <row r="5" ht="18" customHeight="1">
      <c r="A5" s="2" t="inlineStr">
        <is>
          <t>Branding</t>
        </is>
      </c>
      <c r="B5" s="2" t="n"/>
      <c r="C5" s="2" t="n"/>
      <c r="D5" s="2" t="n"/>
      <c r="E5" s="3" t="n"/>
      <c r="F5" s="4">
        <f>IF(D5="","-",D5*E5)</f>
        <v/>
      </c>
      <c r="G5" s="5" t="n"/>
      <c r="H5" s="2" t="n"/>
    </row>
    <row r="6" ht="18" customHeight="1">
      <c r="A6" s="6" t="n"/>
      <c r="B6" s="6" t="n"/>
      <c r="C6" s="6" t="n"/>
      <c r="D6" s="6" t="n"/>
      <c r="E6" s="7" t="n"/>
      <c r="F6" s="8">
        <f>IF(D6="","-",D6*E6)</f>
        <v/>
      </c>
      <c r="G6" s="9" t="n"/>
      <c r="H6" s="6" t="n"/>
    </row>
    <row r="7" ht="18" customHeight="1">
      <c r="A7" s="2" t="n"/>
      <c r="B7" s="2" t="n"/>
      <c r="C7" s="2" t="n"/>
      <c r="D7" s="2" t="n"/>
      <c r="E7" s="3" t="n"/>
      <c r="F7" s="4">
        <f>IF(D7="","-",D7*E7)</f>
        <v/>
      </c>
      <c r="G7" s="5" t="n"/>
      <c r="H7" s="2" t="n"/>
    </row>
    <row r="8" ht="19.5" customHeight="1">
      <c r="A8" s="93" t="inlineStr">
        <is>
          <t>Subtotal — 🎨 Branding (Logo / Theme / Slogan)</t>
        </is>
      </c>
      <c r="B8" s="163" t="n"/>
      <c r="C8" s="163" t="n"/>
      <c r="D8" s="163" t="n"/>
      <c r="E8" s="164" t="n"/>
      <c r="F8" s="10">
        <f>SUM(F5:F7)</f>
        <v/>
      </c>
      <c r="G8" s="11" t="n"/>
      <c r="H8" s="11" t="n"/>
    </row>
    <row r="9" ht="7.5" customHeight="1">
      <c r="A9" s="94" t="n"/>
    </row>
    <row r="10" ht="21.75" customHeight="1">
      <c r="A10" s="98" t="inlineStr">
        <is>
          <t xml:space="preserve">  ▸  👕 Merchandise &amp; Swag</t>
        </is>
      </c>
      <c r="B10" s="163" t="n"/>
      <c r="C10" s="163" t="n"/>
      <c r="D10" s="163" t="n"/>
      <c r="E10" s="163" t="n"/>
      <c r="F10" s="163" t="n"/>
      <c r="G10" s="163" t="n"/>
      <c r="H10" s="163" t="n"/>
    </row>
    <row r="11" ht="18" customHeight="1">
      <c r="A11" s="2" t="inlineStr">
        <is>
          <t>Merchandise / Swag</t>
        </is>
      </c>
      <c r="B11" s="2" t="inlineStr">
        <is>
          <t>T-Shirts</t>
        </is>
      </c>
      <c r="C11" s="2" t="n"/>
      <c r="D11" s="2" t="n">
        <v>1</v>
      </c>
      <c r="E11" s="3" t="n">
        <v>3600</v>
      </c>
      <c r="F11" s="4">
        <f>IF(D11="","-",D11*E11)</f>
        <v/>
      </c>
      <c r="G11" s="5" t="n"/>
      <c r="H11" s="2" t="n"/>
    </row>
    <row r="12" ht="18" customHeight="1">
      <c r="A12" s="6" t="n"/>
      <c r="B12" s="6" t="n"/>
      <c r="C12" s="6" t="n"/>
      <c r="D12" s="6" t="n"/>
      <c r="E12" s="7" t="n"/>
      <c r="F12" s="8">
        <f>IF(D12="","-",D12*E12)</f>
        <v/>
      </c>
      <c r="G12" s="9" t="n"/>
      <c r="H12" s="6" t="n"/>
    </row>
    <row r="13" ht="18" customHeight="1">
      <c r="A13" s="2" t="n"/>
      <c r="B13" s="2" t="n"/>
      <c r="C13" s="2" t="n"/>
      <c r="D13" s="2" t="n"/>
      <c r="E13" s="3" t="n"/>
      <c r="F13" s="4">
        <f>IF(D13="","-",D13*E13)</f>
        <v/>
      </c>
      <c r="G13" s="5" t="n"/>
      <c r="H13" s="2" t="n"/>
    </row>
    <row r="14" ht="18" customHeight="1">
      <c r="A14" s="6" t="n"/>
      <c r="B14" s="6" t="n"/>
      <c r="C14" s="6" t="n"/>
      <c r="D14" s="6" t="n"/>
      <c r="E14" s="7" t="n"/>
      <c r="F14" s="8">
        <f>IF(D14="","-",D14*E14)</f>
        <v/>
      </c>
      <c r="G14" s="9" t="n"/>
      <c r="H14" s="6" t="n"/>
    </row>
    <row r="15" ht="18" customHeight="1">
      <c r="A15" s="2" t="n"/>
      <c r="B15" s="2" t="n"/>
      <c r="C15" s="2" t="n"/>
      <c r="D15" s="2" t="n"/>
      <c r="E15" s="3" t="n"/>
      <c r="F15" s="4">
        <f>IF(D15="","-",D15*E15)</f>
        <v/>
      </c>
      <c r="G15" s="5" t="n"/>
      <c r="H15" s="2" t="n"/>
    </row>
    <row r="16" ht="18" customHeight="1">
      <c r="A16" s="6" t="n"/>
      <c r="B16" s="6" t="n"/>
      <c r="C16" s="6" t="n"/>
      <c r="D16" s="6" t="n"/>
      <c r="E16" s="7" t="n"/>
      <c r="F16" s="8">
        <f>IF(D16="","-",D16*E16)</f>
        <v/>
      </c>
      <c r="G16" s="9" t="n"/>
      <c r="H16" s="6" t="n"/>
    </row>
    <row r="17" ht="19.5" customHeight="1">
      <c r="A17" s="93" t="inlineStr">
        <is>
          <t>Subtotal — 👕 Merchandise &amp; Swag</t>
        </is>
      </c>
      <c r="B17" s="163" t="n"/>
      <c r="C17" s="163" t="n"/>
      <c r="D17" s="163" t="n"/>
      <c r="E17" s="164" t="n"/>
      <c r="F17" s="10">
        <f>SUM(F11:F16)</f>
        <v/>
      </c>
      <c r="G17" s="11" t="n"/>
      <c r="H17" s="11" t="n"/>
    </row>
    <row r="18" ht="7.5" customHeight="1">
      <c r="A18" s="94" t="n"/>
    </row>
    <row r="19" ht="21.75" customHeight="1">
      <c r="A19" s="98" t="inlineStr">
        <is>
          <t xml:space="preserve">  ▸  🏆 Prize Structure</t>
        </is>
      </c>
      <c r="B19" s="163" t="n"/>
      <c r="C19" s="163" t="n"/>
      <c r="D19" s="163" t="n"/>
      <c r="E19" s="163" t="n"/>
      <c r="F19" s="163" t="n"/>
      <c r="G19" s="163" t="n"/>
      <c r="H19" s="163" t="n"/>
    </row>
    <row r="20" ht="18" customHeight="1">
      <c r="A20" s="2" t="inlineStr">
        <is>
          <t>Prize Structure</t>
        </is>
      </c>
      <c r="B20" s="2" t="n"/>
      <c r="C20" s="2" t="n"/>
      <c r="D20" s="2" t="n"/>
      <c r="E20" s="3" t="n"/>
      <c r="F20" s="4">
        <f>IF(D20="","-",D20*E20)</f>
        <v/>
      </c>
      <c r="G20" s="5" t="n"/>
      <c r="H20" s="2" t="n"/>
    </row>
    <row r="21" ht="18" customHeight="1">
      <c r="A21" s="6" t="n"/>
      <c r="B21" s="6" t="n"/>
      <c r="C21" s="6" t="n"/>
      <c r="D21" s="6" t="n"/>
      <c r="E21" s="7" t="n"/>
      <c r="F21" s="8">
        <f>IF(D21="","-",D21*E21)</f>
        <v/>
      </c>
      <c r="G21" s="9" t="n"/>
      <c r="H21" s="6" t="n"/>
    </row>
    <row r="22" ht="18" customHeight="1">
      <c r="A22" s="2" t="n"/>
      <c r="B22" s="2" t="n"/>
      <c r="C22" s="2" t="n"/>
      <c r="D22" s="2" t="n"/>
      <c r="E22" s="3" t="n"/>
      <c r="F22" s="4">
        <f>IF(D22="","-",D22*E22)</f>
        <v/>
      </c>
      <c r="G22" s="5" t="n"/>
      <c r="H22" s="2" t="n"/>
    </row>
    <row r="23" ht="18" customHeight="1">
      <c r="A23" s="6" t="n"/>
      <c r="B23" s="6" t="n"/>
      <c r="C23" s="6" t="n"/>
      <c r="D23" s="6" t="n"/>
      <c r="E23" s="7" t="n"/>
      <c r="F23" s="8">
        <f>IF(D23="","-",D23*E23)</f>
        <v/>
      </c>
      <c r="G23" s="9" t="n"/>
      <c r="H23" s="6" t="n"/>
    </row>
    <row r="24" ht="18" customHeight="1">
      <c r="A24" s="2" t="n"/>
      <c r="B24" s="2" t="n"/>
      <c r="C24" s="2" t="n"/>
      <c r="D24" s="2" t="n"/>
      <c r="E24" s="3" t="n"/>
      <c r="F24" s="4">
        <f>IF(D24="","-",D24*E24)</f>
        <v/>
      </c>
      <c r="G24" s="5" t="n"/>
      <c r="H24" s="2" t="n"/>
    </row>
    <row r="25" ht="18" customHeight="1">
      <c r="A25" s="6" t="n"/>
      <c r="B25" s="6" t="n"/>
      <c r="C25" s="6" t="n"/>
      <c r="D25" s="6" t="n"/>
      <c r="E25" s="7" t="n"/>
      <c r="F25" s="8">
        <f>IF(D25="","-",D25*E25)</f>
        <v/>
      </c>
      <c r="G25" s="9" t="n"/>
      <c r="H25" s="6" t="n"/>
    </row>
    <row r="26" ht="18" customHeight="1">
      <c r="A26" s="2" t="n"/>
      <c r="B26" s="2" t="n"/>
      <c r="C26" s="2" t="n"/>
      <c r="D26" s="2" t="n"/>
      <c r="E26" s="3" t="n"/>
      <c r="F26" s="4">
        <f>IF(D26="","-",D26*E26)</f>
        <v/>
      </c>
      <c r="G26" s="5" t="n"/>
      <c r="H26" s="2" t="n"/>
    </row>
    <row r="27" ht="18" customHeight="1">
      <c r="A27" s="6" t="n"/>
      <c r="B27" s="6" t="n"/>
      <c r="C27" s="6" t="n"/>
      <c r="D27" s="6" t="n"/>
      <c r="E27" s="7" t="n"/>
      <c r="F27" s="8">
        <f>IF(D27="","-",D27*E27)</f>
        <v/>
      </c>
      <c r="G27" s="9" t="n"/>
      <c r="H27" s="6" t="n"/>
    </row>
    <row r="28" ht="19.5" customHeight="1">
      <c r="A28" s="93" t="inlineStr">
        <is>
          <t>Subtotal — 🏆 Prize Structure</t>
        </is>
      </c>
      <c r="B28" s="163" t="n"/>
      <c r="C28" s="163" t="n"/>
      <c r="D28" s="163" t="n"/>
      <c r="E28" s="164" t="n"/>
      <c r="F28" s="10">
        <f>SUM(F20:F27)</f>
        <v/>
      </c>
      <c r="G28" s="11" t="n"/>
      <c r="H28" s="11" t="n"/>
    </row>
    <row r="29" ht="7.5" customHeight="1">
      <c r="A29" s="94" t="n"/>
    </row>
    <row r="30" ht="21.75" customHeight="1">
      <c r="A30" s="98" t="inlineStr">
        <is>
          <t xml:space="preserve">  ▸  📣 In-Person Marketing Campaign (4-Week)</t>
        </is>
      </c>
      <c r="B30" s="163" t="n"/>
      <c r="C30" s="163" t="n"/>
      <c r="D30" s="163" t="n"/>
      <c r="E30" s="163" t="n"/>
      <c r="F30" s="163" t="n"/>
      <c r="G30" s="163" t="n"/>
      <c r="H30" s="163" t="n"/>
    </row>
    <row r="31" ht="18" customHeight="1">
      <c r="A31" s="2" t="inlineStr">
        <is>
          <t>In-Person Campaign</t>
        </is>
      </c>
      <c r="B31" s="2" t="n"/>
      <c r="C31" s="2" t="n"/>
      <c r="D31" s="2" t="n"/>
      <c r="E31" s="3" t="n"/>
      <c r="F31" s="4">
        <f>IF(D31="","-",D31*E31)</f>
        <v/>
      </c>
      <c r="G31" s="5" t="n"/>
      <c r="H31" s="2" t="n"/>
    </row>
    <row r="32" ht="18" customHeight="1">
      <c r="A32" s="6" t="n"/>
      <c r="B32" s="6" t="n"/>
      <c r="C32" s="6" t="n"/>
      <c r="D32" s="6" t="n"/>
      <c r="E32" s="7" t="n"/>
      <c r="F32" s="8">
        <f>IF(D32="","-",D32*E32)</f>
        <v/>
      </c>
      <c r="G32" s="9" t="n"/>
      <c r="H32" s="6" t="n"/>
    </row>
    <row r="33" ht="18" customHeight="1">
      <c r="A33" s="2" t="n"/>
      <c r="B33" s="2" t="n"/>
      <c r="C33" s="2" t="n"/>
      <c r="D33" s="2" t="n"/>
      <c r="E33" s="3" t="n"/>
      <c r="F33" s="4">
        <f>IF(D33="","-",D33*E33)</f>
        <v/>
      </c>
      <c r="G33" s="5" t="n"/>
      <c r="H33" s="2" t="n"/>
    </row>
    <row r="34" ht="18" customHeight="1">
      <c r="A34" s="6" t="n"/>
      <c r="B34" s="6" t="n"/>
      <c r="C34" s="6" t="n"/>
      <c r="D34" s="6" t="n"/>
      <c r="E34" s="7" t="n"/>
      <c r="F34" s="8">
        <f>IF(D34="","-",D34*E34)</f>
        <v/>
      </c>
      <c r="G34" s="9" t="n"/>
      <c r="H34" s="6" t="n"/>
    </row>
    <row r="35" ht="18" customHeight="1">
      <c r="A35" s="2" t="n"/>
      <c r="B35" s="2" t="n"/>
      <c r="C35" s="2" t="n"/>
      <c r="D35" s="2" t="n"/>
      <c r="E35" s="3" t="n"/>
      <c r="F35" s="4">
        <f>IF(D35="","-",D35*E35)</f>
        <v/>
      </c>
      <c r="G35" s="5" t="n"/>
      <c r="H35" s="2" t="n"/>
    </row>
    <row r="36" ht="19.5" customHeight="1">
      <c r="A36" s="93" t="inlineStr">
        <is>
          <t>Subtotal — 📣 In-Person Marketing Campaign (4-Week)</t>
        </is>
      </c>
      <c r="B36" s="163" t="n"/>
      <c r="C36" s="163" t="n"/>
      <c r="D36" s="163" t="n"/>
      <c r="E36" s="164" t="n"/>
      <c r="F36" s="10">
        <f>SUM(F31:F35)</f>
        <v/>
      </c>
      <c r="G36" s="11" t="n"/>
      <c r="H36" s="11" t="n"/>
    </row>
    <row r="37" ht="7.5" customHeight="1">
      <c r="A37" s="94" t="n"/>
    </row>
    <row r="38" ht="21.75" customHeight="1">
      <c r="A38" s="98" t="inlineStr">
        <is>
          <t xml:space="preserve">  ▸  📱 Online / Social Media Campaign (4-Week)</t>
        </is>
      </c>
      <c r="B38" s="163" t="n"/>
      <c r="C38" s="163" t="n"/>
      <c r="D38" s="163" t="n"/>
      <c r="E38" s="163" t="n"/>
      <c r="F38" s="163" t="n"/>
      <c r="G38" s="163" t="n"/>
      <c r="H38" s="163" t="n"/>
    </row>
    <row r="39" ht="18" customHeight="1">
      <c r="A39" s="2" t="inlineStr">
        <is>
          <t>Online Campaign</t>
        </is>
      </c>
      <c r="B39" s="2" t="n"/>
      <c r="C39" s="2" t="n"/>
      <c r="D39" s="2" t="n"/>
      <c r="E39" s="3" t="n"/>
      <c r="F39" s="4">
        <f>IF(D39="","-",D39*E39)</f>
        <v/>
      </c>
      <c r="G39" s="5" t="n"/>
      <c r="H39" s="2" t="n"/>
    </row>
    <row r="40" ht="18" customHeight="1">
      <c r="A40" s="6" t="n"/>
      <c r="B40" s="6" t="n"/>
      <c r="C40" s="6" t="n"/>
      <c r="D40" s="6" t="n"/>
      <c r="E40" s="7" t="n"/>
      <c r="F40" s="8">
        <f>IF(D40="","-",D40*E40)</f>
        <v/>
      </c>
      <c r="G40" s="9" t="n"/>
      <c r="H40" s="6" t="n"/>
    </row>
    <row r="41" ht="18" customHeight="1">
      <c r="A41" s="2" t="n"/>
      <c r="B41" s="2" t="n"/>
      <c r="C41" s="2" t="n"/>
      <c r="D41" s="2" t="n"/>
      <c r="E41" s="3" t="n"/>
      <c r="F41" s="4">
        <f>IF(D41="","-",D41*E41)</f>
        <v/>
      </c>
      <c r="G41" s="5" t="n"/>
      <c r="H41" s="2" t="n"/>
    </row>
    <row r="42" ht="18" customHeight="1">
      <c r="A42" s="6" t="n"/>
      <c r="B42" s="6" t="n"/>
      <c r="C42" s="6" t="n"/>
      <c r="D42" s="6" t="n"/>
      <c r="E42" s="7" t="n"/>
      <c r="F42" s="8">
        <f>IF(D42="","-",D42*E42)</f>
        <v/>
      </c>
      <c r="G42" s="9" t="n"/>
      <c r="H42" s="6" t="n"/>
    </row>
    <row r="43" ht="18" customHeight="1">
      <c r="A43" s="2" t="n"/>
      <c r="B43" s="2" t="n"/>
      <c r="C43" s="2" t="n"/>
      <c r="D43" s="2" t="n"/>
      <c r="E43" s="3" t="n"/>
      <c r="F43" s="4">
        <f>IF(D43="","-",D43*E43)</f>
        <v/>
      </c>
      <c r="G43" s="5" t="n"/>
      <c r="H43" s="2" t="n"/>
    </row>
    <row r="44" ht="19.5" customHeight="1">
      <c r="A44" s="93" t="inlineStr">
        <is>
          <t>Subtotal — 📱 Online / Social Media Campaign (4-Week)</t>
        </is>
      </c>
      <c r="B44" s="163" t="n"/>
      <c r="C44" s="163" t="n"/>
      <c r="D44" s="163" t="n"/>
      <c r="E44" s="164" t="n"/>
      <c r="F44" s="10">
        <f>SUM(F39:F43)</f>
        <v/>
      </c>
      <c r="G44" s="11" t="n"/>
      <c r="H44" s="11" t="n"/>
    </row>
    <row r="45" ht="7.5" customHeight="1">
      <c r="A45" s="94" t="n"/>
    </row>
    <row r="46" ht="21.75" customHeight="1">
      <c r="A46" s="98" t="inlineStr">
        <is>
          <t xml:space="preserve">  ▸  🎤 Assembly &amp; Media Content</t>
        </is>
      </c>
      <c r="B46" s="163" t="n"/>
      <c r="C46" s="163" t="n"/>
      <c r="D46" s="163" t="n"/>
      <c r="E46" s="163" t="n"/>
      <c r="F46" s="163" t="n"/>
      <c r="G46" s="163" t="n"/>
      <c r="H46" s="163" t="n"/>
    </row>
    <row r="47" ht="18" customHeight="1">
      <c r="A47" s="2" t="inlineStr">
        <is>
          <t>Assembly / Media</t>
        </is>
      </c>
      <c r="B47" s="2" t="n"/>
      <c r="C47" s="2" t="n"/>
      <c r="D47" s="2" t="n"/>
      <c r="E47" s="3" t="n"/>
      <c r="F47" s="4">
        <f>IF(D47="","-",D47*E47)</f>
        <v/>
      </c>
      <c r="G47" s="5" t="n"/>
      <c r="H47" s="2" t="n"/>
    </row>
    <row r="48" ht="18" customHeight="1">
      <c r="A48" s="6" t="n"/>
      <c r="B48" s="6" t="n"/>
      <c r="C48" s="6" t="n"/>
      <c r="D48" s="6" t="n"/>
      <c r="E48" s="7" t="n"/>
      <c r="F48" s="8">
        <f>IF(D48="","-",D48*E48)</f>
        <v/>
      </c>
      <c r="G48" s="9" t="n"/>
      <c r="H48" s="6" t="n"/>
    </row>
    <row r="49" ht="18" customHeight="1">
      <c r="A49" s="2" t="n"/>
      <c r="B49" s="2" t="n"/>
      <c r="C49" s="2" t="n"/>
      <c r="D49" s="2" t="n"/>
      <c r="E49" s="3" t="n"/>
      <c r="F49" s="4">
        <f>IF(D49="","-",D49*E49)</f>
        <v/>
      </c>
      <c r="G49" s="5" t="n"/>
      <c r="H49" s="2" t="n"/>
    </row>
    <row r="50" ht="18" customHeight="1">
      <c r="A50" s="6" t="n"/>
      <c r="B50" s="6" t="n"/>
      <c r="C50" s="6" t="n"/>
      <c r="D50" s="6" t="n"/>
      <c r="E50" s="7" t="n"/>
      <c r="F50" s="8">
        <f>IF(D50="","-",D50*E50)</f>
        <v/>
      </c>
      <c r="G50" s="9" t="n"/>
      <c r="H50" s="6" t="n"/>
    </row>
    <row r="51" ht="19.5" customHeight="1">
      <c r="A51" s="93" t="inlineStr">
        <is>
          <t>Subtotal — 🎤 Assembly &amp; Media Content</t>
        </is>
      </c>
      <c r="B51" s="163" t="n"/>
      <c r="C51" s="163" t="n"/>
      <c r="D51" s="163" t="n"/>
      <c r="E51" s="164" t="n"/>
      <c r="F51" s="10">
        <f>SUM(F47:F50)</f>
        <v/>
      </c>
      <c r="G51" s="11" t="n"/>
      <c r="H51" s="11" t="n"/>
    </row>
    <row r="52" ht="7.5" customHeight="1">
      <c r="A52" s="94" t="n"/>
    </row>
    <row r="53" ht="21.75" customHeight="1">
      <c r="A53" s="98" t="inlineStr">
        <is>
          <t xml:space="preserve">  ▸  🤝 Sponsorship Materials &amp; Outreach</t>
        </is>
      </c>
      <c r="B53" s="163" t="n"/>
      <c r="C53" s="163" t="n"/>
      <c r="D53" s="163" t="n"/>
      <c r="E53" s="163" t="n"/>
      <c r="F53" s="163" t="n"/>
      <c r="G53" s="163" t="n"/>
      <c r="H53" s="163" t="n"/>
    </row>
    <row r="54" ht="18" customHeight="1">
      <c r="A54" s="2" t="inlineStr">
        <is>
          <t>Sponsorship Materials</t>
        </is>
      </c>
      <c r="B54" s="2" t="n"/>
      <c r="C54" s="2" t="n"/>
      <c r="D54" s="2" t="n"/>
      <c r="E54" s="3" t="n"/>
      <c r="F54" s="4">
        <f>IF(D54="","-",D54*E54)</f>
        <v/>
      </c>
      <c r="G54" s="5" t="n"/>
      <c r="H54" s="2" t="n"/>
    </row>
    <row r="55" ht="18" customHeight="1">
      <c r="A55" s="6" t="n"/>
      <c r="B55" s="6" t="n"/>
      <c r="C55" s="6" t="n"/>
      <c r="D55" s="6" t="n"/>
      <c r="E55" s="7" t="n"/>
      <c r="F55" s="8">
        <f>IF(D55="","-",D55*E55)</f>
        <v/>
      </c>
      <c r="G55" s="9" t="n"/>
      <c r="H55" s="6" t="n"/>
    </row>
    <row r="56" ht="18" customHeight="1">
      <c r="A56" s="2" t="n"/>
      <c r="B56" s="2" t="n"/>
      <c r="C56" s="2" t="n"/>
      <c r="D56" s="2" t="n"/>
      <c r="E56" s="3" t="n"/>
      <c r="F56" s="4">
        <f>IF(D56="","-",D56*E56)</f>
        <v/>
      </c>
      <c r="G56" s="5" t="n"/>
      <c r="H56" s="2" t="n"/>
    </row>
    <row r="57" ht="18" customHeight="1">
      <c r="A57" s="6" t="n"/>
      <c r="B57" s="6" t="n"/>
      <c r="C57" s="6" t="n"/>
      <c r="D57" s="6" t="n"/>
      <c r="E57" s="7" t="n"/>
      <c r="F57" s="8">
        <f>IF(D57="","-",D57*E57)</f>
        <v/>
      </c>
      <c r="G57" s="9" t="n"/>
      <c r="H57" s="6" t="n"/>
    </row>
    <row r="58" ht="19.5" customHeight="1">
      <c r="A58" s="93" t="inlineStr">
        <is>
          <t>Subtotal — 🤝 Sponsorship Materials &amp; Outreach</t>
        </is>
      </c>
      <c r="B58" s="163" t="n"/>
      <c r="C58" s="163" t="n"/>
      <c r="D58" s="163" t="n"/>
      <c r="E58" s="164" t="n"/>
      <c r="F58" s="10">
        <f>SUM(F54:F57)</f>
        <v/>
      </c>
      <c r="G58" s="11" t="n"/>
      <c r="H58" s="11" t="n"/>
    </row>
    <row r="59" ht="7.5" customHeight="1">
      <c r="A59" s="94" t="n"/>
    </row>
    <row r="60" ht="21.75" customHeight="1">
      <c r="A60" s="98" t="inlineStr">
        <is>
          <t xml:space="preserve">  ▸  📰 Website / Press Release</t>
        </is>
      </c>
      <c r="B60" s="163" t="n"/>
      <c r="C60" s="163" t="n"/>
      <c r="D60" s="163" t="n"/>
      <c r="E60" s="163" t="n"/>
      <c r="F60" s="163" t="n"/>
      <c r="G60" s="163" t="n"/>
      <c r="H60" s="163" t="n"/>
    </row>
    <row r="61" ht="18" customHeight="1">
      <c r="A61" s="2" t="inlineStr">
        <is>
          <t>Press / Website</t>
        </is>
      </c>
      <c r="B61" s="2" t="n"/>
      <c r="C61" s="2" t="n"/>
      <c r="D61" s="2" t="n"/>
      <c r="E61" s="3" t="n"/>
      <c r="F61" s="4">
        <f>IF(D61="","-",D61*E61)</f>
        <v/>
      </c>
      <c r="G61" s="5" t="n"/>
      <c r="H61" s="2" t="n"/>
    </row>
    <row r="62" ht="18" customHeight="1">
      <c r="A62" s="6" t="n"/>
      <c r="B62" s="6" t="n"/>
      <c r="C62" s="6" t="n"/>
      <c r="D62" s="6" t="n"/>
      <c r="E62" s="7" t="n"/>
      <c r="F62" s="8">
        <f>IF(D62="","-",D62*E62)</f>
        <v/>
      </c>
      <c r="G62" s="9" t="n"/>
      <c r="H62" s="6" t="n"/>
    </row>
    <row r="63" ht="18" customHeight="1">
      <c r="A63" s="2" t="n"/>
      <c r="B63" s="2" t="n"/>
      <c r="C63" s="2" t="n"/>
      <c r="D63" s="2" t="n"/>
      <c r="E63" s="3" t="n"/>
      <c r="F63" s="4">
        <f>IF(D63="","-",D63*E63)</f>
        <v/>
      </c>
      <c r="G63" s="5" t="n"/>
      <c r="H63" s="2" t="n"/>
    </row>
    <row r="64" ht="19.5" customHeight="1">
      <c r="A64" s="93" t="inlineStr">
        <is>
          <t>Subtotal — 📰 Website / Press Release</t>
        </is>
      </c>
      <c r="B64" s="163" t="n"/>
      <c r="C64" s="163" t="n"/>
      <c r="D64" s="163" t="n"/>
      <c r="E64" s="164" t="n"/>
      <c r="F64" s="10">
        <f>SUM(F61:F63)</f>
        <v/>
      </c>
      <c r="G64" s="11" t="n"/>
      <c r="H64" s="11" t="n"/>
    </row>
    <row r="65" ht="7.5" customHeight="1">
      <c r="A65" s="94" t="n"/>
    </row>
    <row r="66" ht="24" customHeight="1">
      <c r="A66" s="99" t="inlineStr">
        <is>
          <t>🟣  MARKETING GRAND TOTAL</t>
        </is>
      </c>
      <c r="B66" s="163" t="n"/>
      <c r="C66" s="163" t="n"/>
      <c r="D66" s="163" t="n"/>
      <c r="E66" s="164" t="n"/>
      <c r="F66" s="15">
        <f>F8+F17+F28+F36+F44+F51+F58+F64</f>
        <v/>
      </c>
      <c r="G66" s="16" t="n"/>
      <c r="H66" s="16" t="n"/>
    </row>
    <row r="68" ht="15" customHeight="1">
      <c r="A68" s="96" t="inlineStr">
        <is>
          <t>📌  LEGEND:  Blue text = Input cells  |  Black text = Auto-calculated  |  Gold rows = Subtotals  |  Purple rows = Grand Total</t>
        </is>
      </c>
      <c r="B68" s="163" t="n"/>
      <c r="C68" s="163" t="n"/>
      <c r="D68" s="163" t="n"/>
      <c r="E68" s="163" t="n"/>
      <c r="F68" s="163" t="n"/>
      <c r="G68" s="163" t="n"/>
      <c r="H68" s="163" t="n"/>
    </row>
  </sheetData>
  <mergeCells count="28">
    <mergeCell ref="A9:H9"/>
    <mergeCell ref="A30:H30"/>
    <mergeCell ref="A59:H59"/>
    <mergeCell ref="A64:E64"/>
    <mergeCell ref="A51:E51"/>
    <mergeCell ref="A60:H60"/>
    <mergeCell ref="A36:E36"/>
    <mergeCell ref="A1:H1"/>
    <mergeCell ref="A45:H45"/>
    <mergeCell ref="A65:H65"/>
    <mergeCell ref="A66:E66"/>
    <mergeCell ref="A46:H46"/>
    <mergeCell ref="A37:H37"/>
    <mergeCell ref="A18:H18"/>
    <mergeCell ref="A2:H2"/>
    <mergeCell ref="A8:E8"/>
    <mergeCell ref="A17:E17"/>
    <mergeCell ref="A4:H4"/>
    <mergeCell ref="A53:H53"/>
    <mergeCell ref="A29:H29"/>
    <mergeCell ref="A38:H38"/>
    <mergeCell ref="A28:E28"/>
    <mergeCell ref="A52:H52"/>
    <mergeCell ref="A10:H10"/>
    <mergeCell ref="A68:H68"/>
    <mergeCell ref="A19:H19"/>
    <mergeCell ref="A44:E44"/>
    <mergeCell ref="A58:E58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zoomScaleNormal="100" workbookViewId="0">
      <pane ySplit="3" topLeftCell="A4" activePane="bottomLeft" state="frozen"/>
      <selection pane="bottomLeft" activeCell="A1" sqref="A1:J1"/>
    </sheetView>
  </sheetViews>
  <sheetFormatPr baseColWidth="8" defaultColWidth="8.6640625" defaultRowHeight="14.4"/>
  <cols>
    <col width="26" customWidth="1" min="1" max="2"/>
    <col width="18" customWidth="1" min="3" max="3"/>
    <col width="12" customWidth="1" min="4" max="4"/>
    <col width="16" customWidth="1" min="5" max="8"/>
    <col width="14" customWidth="1" min="9" max="9"/>
    <col width="24" customWidth="1" min="10" max="10"/>
  </cols>
  <sheetData>
    <row r="1" ht="36" customHeight="1">
      <c r="A1" s="100" t="inlineStr">
        <is>
          <t>💰  SpringSmash 2026 — Finance &amp; Fundraising Overview</t>
        </is>
      </c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</row>
    <row r="2" ht="19.5" customHeight="1">
      <c r="A2" s="91" t="inlineStr">
        <is>
          <t>Department: Finance &amp; Fundraising  |  Event: SpringSmash 2026  |  Event Date: May 14, 2026  |  Last Updated: ___________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</row>
    <row r="3" ht="21.75" customHeight="1">
      <c r="A3" s="101" t="inlineStr">
        <is>
          <t>📥  SECTION A — SPONSORSHIP REVENUE</t>
        </is>
      </c>
      <c r="B3" s="163" t="n"/>
      <c r="C3" s="163" t="n"/>
      <c r="D3" s="163" t="n"/>
      <c r="E3" s="163" t="n"/>
      <c r="F3" s="163" t="n"/>
      <c r="G3" s="163" t="n"/>
      <c r="H3" s="163" t="n"/>
      <c r="I3" s="163" t="n"/>
      <c r="J3" s="163" t="n"/>
    </row>
    <row r="4" ht="30" customHeight="1">
      <c r="A4" s="17" t="inlineStr">
        <is>
          <t>Sponsor Name</t>
        </is>
      </c>
      <c r="B4" s="17" t="inlineStr">
        <is>
          <t>Sponsorship Tier</t>
        </is>
      </c>
      <c r="C4" s="17" t="inlineStr">
        <is>
          <t>Contact Person</t>
        </is>
      </c>
      <c r="D4" s="17" t="inlineStr">
        <is>
          <t>Amount Pledged ($)</t>
        </is>
      </c>
      <c r="E4" s="17" t="inlineStr">
        <is>
          <t>Amount Received ($)</t>
        </is>
      </c>
      <c r="F4" s="17" t="inlineStr">
        <is>
          <t>Outstanding ($)</t>
        </is>
      </c>
      <c r="G4" s="17" t="inlineStr">
        <is>
          <t>Date Received</t>
        </is>
      </c>
      <c r="H4" s="17" t="inlineStr">
        <is>
          <t>Recognition Promised</t>
        </is>
      </c>
      <c r="I4" s="17" t="inlineStr">
        <is>
          <t>Status</t>
        </is>
      </c>
      <c r="J4" s="17" t="inlineStr">
        <is>
          <t>Notes</t>
        </is>
      </c>
    </row>
    <row r="5" ht="18" customHeight="1">
      <c r="A5" s="18" t="n"/>
      <c r="B5" s="18" t="n"/>
      <c r="C5" s="18" t="n"/>
      <c r="D5" s="19" t="n"/>
      <c r="E5" s="19" t="n"/>
      <c r="F5" s="20">
        <f>IF(D5="","-",D5-E5)</f>
        <v/>
      </c>
      <c r="G5" s="19" t="n"/>
      <c r="H5" s="19" t="n"/>
      <c r="I5" s="18" t="n"/>
      <c r="J5" s="18" t="n"/>
    </row>
    <row r="6" ht="18" customHeight="1">
      <c r="A6" s="6" t="n"/>
      <c r="B6" s="6" t="n"/>
      <c r="C6" s="6" t="n"/>
      <c r="D6" s="9" t="n"/>
      <c r="E6" s="9" t="n"/>
      <c r="F6" s="8">
        <f>IF(D6="","-",D6-E6)</f>
        <v/>
      </c>
      <c r="G6" s="9" t="n"/>
      <c r="H6" s="9" t="n"/>
      <c r="I6" s="6" t="n"/>
      <c r="J6" s="6" t="n"/>
    </row>
    <row r="7" ht="18" customHeight="1">
      <c r="A7" s="18" t="n"/>
      <c r="B7" s="18" t="n"/>
      <c r="C7" s="18" t="n"/>
      <c r="D7" s="19" t="n"/>
      <c r="E7" s="19" t="n"/>
      <c r="F7" s="20">
        <f>IF(D7="","-",D7-E7)</f>
        <v/>
      </c>
      <c r="G7" s="19" t="n"/>
      <c r="H7" s="19" t="n"/>
      <c r="I7" s="18" t="n"/>
      <c r="J7" s="18" t="n"/>
    </row>
    <row r="8" ht="18" customHeight="1">
      <c r="A8" s="6" t="n"/>
      <c r="B8" s="6" t="n"/>
      <c r="C8" s="6" t="n"/>
      <c r="D8" s="9" t="n"/>
      <c r="E8" s="9" t="n"/>
      <c r="F8" s="8">
        <f>IF(D8="","-",D8-E8)</f>
        <v/>
      </c>
      <c r="G8" s="9" t="n"/>
      <c r="H8" s="9" t="n"/>
      <c r="I8" s="6" t="n"/>
      <c r="J8" s="6" t="n"/>
    </row>
    <row r="9" ht="18" customHeight="1">
      <c r="A9" s="18" t="n"/>
      <c r="B9" s="18" t="n"/>
      <c r="C9" s="18" t="n"/>
      <c r="D9" s="19" t="n"/>
      <c r="E9" s="19" t="n"/>
      <c r="F9" s="20">
        <f>IF(D9="","-",D9-E9)</f>
        <v/>
      </c>
      <c r="G9" s="19" t="n"/>
      <c r="H9" s="19" t="n"/>
      <c r="I9" s="18" t="n"/>
      <c r="J9" s="18" t="n"/>
    </row>
    <row r="10" ht="18" customHeight="1">
      <c r="A10" s="6" t="n"/>
      <c r="B10" s="6" t="n"/>
      <c r="C10" s="6" t="n"/>
      <c r="D10" s="9" t="n"/>
      <c r="E10" s="9" t="n"/>
      <c r="F10" s="8">
        <f>IF(D10="","-",D10-E10)</f>
        <v/>
      </c>
      <c r="G10" s="9" t="n"/>
      <c r="H10" s="9" t="n"/>
      <c r="I10" s="6" t="n"/>
      <c r="J10" s="6" t="n"/>
    </row>
    <row r="11" ht="21.75" customHeight="1">
      <c r="A11" s="102" t="inlineStr">
        <is>
          <t>TOTAL SPONSORSHIP REVENUE</t>
        </is>
      </c>
      <c r="B11" s="163" t="n"/>
      <c r="C11" s="163" t="n"/>
      <c r="D11" s="164" t="n"/>
      <c r="E11" s="21">
        <f>SUM(E5:E10)</f>
        <v/>
      </c>
      <c r="F11" s="22" t="n"/>
      <c r="G11" s="22" t="n"/>
      <c r="H11" s="22" t="n"/>
      <c r="I11" s="22" t="n"/>
      <c r="J11" s="22" t="n"/>
    </row>
    <row r="12" ht="7.5" customHeight="1">
      <c r="A12" s="94" t="n"/>
    </row>
    <row r="13" ht="21.75" customHeight="1">
      <c r="A13" s="101" t="inlineStr">
        <is>
          <t>📈  SECTION B — JUMPSTART FUNDRAISING REVENUE</t>
        </is>
      </c>
      <c r="B13" s="163" t="n"/>
      <c r="C13" s="163" t="n"/>
      <c r="D13" s="163" t="n"/>
      <c r="E13" s="163" t="n"/>
      <c r="F13" s="163" t="n"/>
      <c r="G13" s="163" t="n"/>
      <c r="H13" s="163" t="n"/>
      <c r="I13" s="163" t="n"/>
      <c r="J13" s="163" t="n"/>
    </row>
    <row r="14" ht="30" customHeight="1">
      <c r="A14" s="17" t="inlineStr">
        <is>
          <t>Week / Period</t>
        </is>
      </c>
      <c r="B14" s="17" t="inlineStr">
        <is>
          <t>Top Fundraiser</t>
        </is>
      </c>
      <c r="C14" s="17" t="inlineStr">
        <is>
          <t>Fundraising Target ($)</t>
        </is>
      </c>
      <c r="D14" s="17" t="inlineStr">
        <is>
          <t>Actual Raised ($)</t>
        </is>
      </c>
      <c r="E14" s="17" t="inlineStr">
        <is>
          <t>% of Target</t>
        </is>
      </c>
      <c r="F14" s="17" t="inlineStr">
        <is>
          <t>Campaign Activity</t>
        </is>
      </c>
      <c r="G14" s="17" t="inlineStr">
        <is>
          <t>Platform</t>
        </is>
      </c>
      <c r="H14" s="17" t="inlineStr">
        <is>
          <t>Date</t>
        </is>
      </c>
      <c r="I14" s="17" t="inlineStr">
        <is>
          <t>Status</t>
        </is>
      </c>
      <c r="J14" s="17" t="inlineStr">
        <is>
          <t>Notes</t>
        </is>
      </c>
    </row>
    <row r="15" ht="18" customHeight="1">
      <c r="A15" s="18" t="inlineStr">
        <is>
          <t>Week 1</t>
        </is>
      </c>
      <c r="B15" s="18" t="n"/>
      <c r="C15" s="18" t="n"/>
      <c r="D15" s="19" t="n"/>
      <c r="E15" s="23">
        <f>IF(C15=0,"-",D15/C15)</f>
        <v/>
      </c>
      <c r="F15" s="19" t="n"/>
      <c r="G15" s="19" t="n"/>
      <c r="H15" s="19" t="n"/>
      <c r="I15" s="18" t="n"/>
      <c r="J15" s="18" t="n"/>
    </row>
    <row r="16" ht="18" customHeight="1">
      <c r="A16" s="6" t="inlineStr">
        <is>
          <t>Week 2</t>
        </is>
      </c>
      <c r="B16" s="6" t="n"/>
      <c r="C16" s="6" t="n"/>
      <c r="D16" s="9" t="n"/>
      <c r="E16" s="24">
        <f>IF(C16=0,"-",D16/C16)</f>
        <v/>
      </c>
      <c r="F16" s="9" t="n"/>
      <c r="G16" s="9" t="n"/>
      <c r="H16" s="9" t="n"/>
      <c r="I16" s="6" t="n"/>
      <c r="J16" s="6" t="n"/>
    </row>
    <row r="17" ht="18" customHeight="1">
      <c r="A17" s="18" t="inlineStr">
        <is>
          <t>Week 3</t>
        </is>
      </c>
      <c r="B17" s="18" t="n"/>
      <c r="C17" s="18" t="n"/>
      <c r="D17" s="19" t="n"/>
      <c r="E17" s="23">
        <f>IF(C17=0,"-",D17/C17)</f>
        <v/>
      </c>
      <c r="F17" s="19" t="n"/>
      <c r="G17" s="19" t="n"/>
      <c r="H17" s="19" t="n"/>
      <c r="I17" s="18" t="n"/>
      <c r="J17" s="18" t="n"/>
    </row>
    <row r="18" ht="18" customHeight="1">
      <c r="A18" s="6" t="inlineStr">
        <is>
          <t>Week 4</t>
        </is>
      </c>
      <c r="B18" s="6" t="n"/>
      <c r="C18" s="6" t="n"/>
      <c r="D18" s="9" t="n"/>
      <c r="E18" s="24">
        <f>IF(C18=0,"-",D18/C18)</f>
        <v/>
      </c>
      <c r="F18" s="9" t="n"/>
      <c r="G18" s="9" t="n"/>
      <c r="H18" s="9" t="n"/>
      <c r="I18" s="6" t="n"/>
      <c r="J18" s="6" t="n"/>
    </row>
    <row r="19" ht="18" customHeight="1">
      <c r="A19" s="18" t="inlineStr">
        <is>
          <t>Campaign Total</t>
        </is>
      </c>
      <c r="B19" s="18" t="n"/>
      <c r="C19" s="18" t="n"/>
      <c r="D19" s="19" t="n"/>
      <c r="E19" s="23">
        <f>IF(C19=0,"-",D19/C19)</f>
        <v/>
      </c>
      <c r="F19" s="19" t="n"/>
      <c r="G19" s="19" t="n"/>
      <c r="H19" s="19" t="n"/>
      <c r="I19" s="18" t="n"/>
      <c r="J19" s="18" t="n"/>
    </row>
    <row r="20" ht="21.75" customHeight="1">
      <c r="A20" s="102" t="inlineStr">
        <is>
          <t>TOTAL FUNDRAISING REVENUE</t>
        </is>
      </c>
      <c r="B20" s="163" t="n"/>
      <c r="C20" s="164" t="n"/>
      <c r="D20" s="21">
        <f>SUM(D15:D19)</f>
        <v/>
      </c>
      <c r="E20" s="22" t="n"/>
      <c r="F20" s="22" t="n"/>
      <c r="G20" s="22" t="n"/>
      <c r="H20" s="22" t="n"/>
      <c r="I20" s="22" t="n"/>
      <c r="J20" s="22" t="n"/>
    </row>
    <row r="21" ht="7.5" customHeight="1">
      <c r="A21" s="94" t="n"/>
    </row>
    <row r="22" ht="21.75" customHeight="1">
      <c r="A22" s="103" t="inlineStr">
        <is>
          <t>🏆  SECTION C — PRIZE COSTS</t>
        </is>
      </c>
      <c r="B22" s="163" t="n"/>
      <c r="C22" s="163" t="n"/>
      <c r="D22" s="163" t="n"/>
      <c r="E22" s="163" t="n"/>
      <c r="F22" s="163" t="n"/>
      <c r="G22" s="163" t="n"/>
      <c r="H22" s="163" t="n"/>
      <c r="I22" s="163" t="n"/>
      <c r="J22" s="163" t="n"/>
    </row>
    <row r="23" ht="30" customHeight="1">
      <c r="A23" s="25" t="inlineStr">
        <is>
          <t>Prize Category</t>
        </is>
      </c>
      <c r="B23" s="25" t="inlineStr">
        <is>
          <t>Award / Description</t>
        </is>
      </c>
      <c r="C23" s="25" t="inlineStr">
        <is>
          <t>Criteria</t>
        </is>
      </c>
      <c r="D23" s="25" t="inlineStr">
        <is>
          <t>Qty</t>
        </is>
      </c>
      <c r="E23" s="25" t="inlineStr">
        <is>
          <t>Unit Cost ($)</t>
        </is>
      </c>
      <c r="F23" s="25" t="inlineStr">
        <is>
          <t>Total Cost ($)</t>
        </is>
      </c>
      <c r="G23" s="25" t="inlineStr">
        <is>
          <t>Vendor / Source</t>
        </is>
      </c>
      <c r="H23" s="25" t="inlineStr">
        <is>
          <t>Status</t>
        </is>
      </c>
      <c r="I23" s="25" t="inlineStr">
        <is>
          <t>Delivery Date</t>
        </is>
      </c>
      <c r="J23" s="25" t="inlineStr">
        <is>
          <t>Notes</t>
        </is>
      </c>
    </row>
    <row r="24" ht="18" customHeight="1">
      <c r="A24" s="18" t="inlineStr">
        <is>
          <t>Weekly Top Donor (Weekly prizes)</t>
        </is>
      </c>
      <c r="B24" s="18" t="n"/>
      <c r="C24" s="18" t="n"/>
      <c r="D24" s="19" t="n"/>
      <c r="E24" s="19" t="n"/>
      <c r="F24" s="20">
        <f>IF(D24="","-",D24*E24)</f>
        <v/>
      </c>
      <c r="G24" s="19" t="n"/>
      <c r="H24" s="19" t="n"/>
      <c r="I24" s="18" t="n"/>
      <c r="J24" s="18" t="n"/>
    </row>
    <row r="25" ht="18" customHeight="1">
      <c r="A25" s="6" t="inlineStr">
        <is>
          <t>Top 3 US Advisory</t>
        </is>
      </c>
      <c r="B25" s="6" t="n"/>
      <c r="C25" s="6" t="n"/>
      <c r="D25" s="9" t="n"/>
      <c r="E25" s="9" t="n"/>
      <c r="F25" s="8">
        <f>IF(D25="","-",D25*E25)</f>
        <v/>
      </c>
      <c r="G25" s="9" t="n"/>
      <c r="H25" s="9" t="n"/>
      <c r="I25" s="6" t="n"/>
      <c r="J25" s="6" t="n"/>
    </row>
    <row r="26" ht="18" customHeight="1">
      <c r="A26" s="18" t="inlineStr">
        <is>
          <t>Top 3 MS Advisory</t>
        </is>
      </c>
      <c r="B26" s="18" t="n"/>
      <c r="C26" s="18" t="n"/>
      <c r="D26" s="19" t="n"/>
      <c r="E26" s="19" t="n"/>
      <c r="F26" s="20">
        <f>IF(D26="","-",D26*E26)</f>
        <v/>
      </c>
      <c r="G26" s="19" t="n"/>
      <c r="H26" s="19" t="n"/>
      <c r="I26" s="18" t="n"/>
      <c r="J26" s="18" t="n"/>
    </row>
    <row r="27" ht="18" customHeight="1">
      <c r="A27" s="6" t="inlineStr">
        <is>
          <t>Top 3 Individual Donors</t>
        </is>
      </c>
      <c r="B27" s="6" t="n"/>
      <c r="C27" s="6" t="n"/>
      <c r="D27" s="9" t="n"/>
      <c r="E27" s="9" t="n"/>
      <c r="F27" s="8">
        <f>IF(D27="","-",D27*E27)</f>
        <v/>
      </c>
      <c r="G27" s="9" t="n"/>
      <c r="H27" s="9" t="n"/>
      <c r="I27" s="6" t="n"/>
      <c r="J27" s="6" t="n"/>
    </row>
    <row r="28" ht="18" customHeight="1">
      <c r="A28" s="18" t="inlineStr">
        <is>
          <t>Top 20 Donors – VIP / Fast Pass</t>
        </is>
      </c>
      <c r="B28" s="18" t="n"/>
      <c r="C28" s="18" t="n"/>
      <c r="D28" s="19" t="n"/>
      <c r="E28" s="19" t="n"/>
      <c r="F28" s="20">
        <f>IF(D28="","-",D28*E28)</f>
        <v/>
      </c>
      <c r="G28" s="19" t="n"/>
      <c r="H28" s="19" t="n"/>
      <c r="I28" s="18" t="n"/>
      <c r="J28" s="18" t="n"/>
    </row>
    <row r="29" ht="18" customHeight="1">
      <c r="A29" s="6" t="inlineStr">
        <is>
          <t>Boarder House Award</t>
        </is>
      </c>
      <c r="B29" s="6" t="n"/>
      <c r="C29" s="6" t="n"/>
      <c r="D29" s="9" t="n"/>
      <c r="E29" s="9" t="n"/>
      <c r="F29" s="8">
        <f>IF(D29="","-",D29*E29)</f>
        <v/>
      </c>
      <c r="G29" s="9" t="n"/>
      <c r="H29" s="9" t="n"/>
      <c r="I29" s="6" t="n"/>
      <c r="J29" s="6" t="n"/>
    </row>
    <row r="30" ht="18" customHeight="1">
      <c r="A30" s="18" t="inlineStr">
        <is>
          <t>Day Student House Award</t>
        </is>
      </c>
      <c r="B30" s="18" t="n"/>
      <c r="C30" s="18" t="n"/>
      <c r="D30" s="19" t="n"/>
      <c r="E30" s="19" t="n"/>
      <c r="F30" s="20">
        <f>IF(D30="","-",D30*E30)</f>
        <v/>
      </c>
      <c r="G30" s="19" t="n"/>
      <c r="H30" s="19" t="n"/>
      <c r="I30" s="18" t="n"/>
      <c r="J30" s="18" t="n"/>
    </row>
    <row r="31" ht="18" customHeight="1">
      <c r="A31" s="6" t="inlineStr">
        <is>
          <t>Raffle Prize #1</t>
        </is>
      </c>
      <c r="B31" s="6" t="n"/>
      <c r="C31" s="6" t="n"/>
      <c r="D31" s="9" t="n"/>
      <c r="E31" s="9" t="n"/>
      <c r="F31" s="8">
        <f>IF(D31="","-",D31*E31)</f>
        <v/>
      </c>
      <c r="G31" s="9" t="n"/>
      <c r="H31" s="9" t="n"/>
      <c r="I31" s="6" t="n"/>
      <c r="J31" s="6" t="n"/>
    </row>
    <row r="32" ht="18" customHeight="1">
      <c r="A32" s="18" t="inlineStr">
        <is>
          <t>Raffle Prize #2</t>
        </is>
      </c>
      <c r="B32" s="18" t="n"/>
      <c r="C32" s="18" t="n"/>
      <c r="D32" s="19" t="n"/>
      <c r="E32" s="19" t="n"/>
      <c r="F32" s="20">
        <f>IF(D32="","-",D32*E32)</f>
        <v/>
      </c>
      <c r="G32" s="19" t="n"/>
      <c r="H32" s="19" t="n"/>
      <c r="I32" s="18" t="n"/>
      <c r="J32" s="18" t="n"/>
    </row>
    <row r="33" ht="18" customHeight="1">
      <c r="A33" s="6" t="inlineStr">
        <is>
          <t>Raffle Prize #3</t>
        </is>
      </c>
      <c r="B33" s="6" t="n"/>
      <c r="C33" s="6" t="n"/>
      <c r="D33" s="9" t="n"/>
      <c r="E33" s="9" t="n"/>
      <c r="F33" s="8">
        <f>IF(D33="","-",D33*E33)</f>
        <v/>
      </c>
      <c r="G33" s="9" t="n"/>
      <c r="H33" s="9" t="n"/>
      <c r="I33" s="6" t="n"/>
      <c r="J33" s="6" t="n"/>
    </row>
    <row r="34" ht="21.75" customHeight="1">
      <c r="A34" s="93" t="inlineStr">
        <is>
          <t>TOTAL PRIZE COSTS</t>
        </is>
      </c>
      <c r="B34" s="163" t="n"/>
      <c r="C34" s="163" t="n"/>
      <c r="D34" s="163" t="n"/>
      <c r="E34" s="164" t="n"/>
      <c r="F34" s="10">
        <f>SUM(F24:F33)</f>
        <v/>
      </c>
      <c r="G34" s="11" t="n"/>
      <c r="H34" s="11" t="n"/>
      <c r="I34" s="11" t="n"/>
      <c r="J34" s="11" t="n"/>
    </row>
    <row r="35" ht="7.5" customHeight="1">
      <c r="A35" s="94" t="n"/>
    </row>
    <row r="36" ht="21.75" customHeight="1">
      <c r="A36" s="103" t="inlineStr">
        <is>
          <t>📣  SECTION D — CAMPAIGN &amp; MARKETING COSTS</t>
        </is>
      </c>
      <c r="B36" s="163" t="n"/>
      <c r="C36" s="163" t="n"/>
      <c r="D36" s="163" t="n"/>
      <c r="E36" s="163" t="n"/>
      <c r="F36" s="163" t="n"/>
      <c r="G36" s="163" t="n"/>
      <c r="H36" s="163" t="n"/>
      <c r="I36" s="163" t="n"/>
      <c r="J36" s="163" t="n"/>
    </row>
    <row r="37" ht="30" customHeight="1">
      <c r="A37" s="25" t="inlineStr">
        <is>
          <t>Week</t>
        </is>
      </c>
      <c r="B37" s="25" t="inlineStr">
        <is>
          <t>Activity Name</t>
        </is>
      </c>
      <c r="C37" s="25" t="inlineStr">
        <is>
          <t>Type (Online/In-Person)</t>
        </is>
      </c>
      <c r="D37" s="25" t="inlineStr">
        <is>
          <t>Target Audience</t>
        </is>
      </c>
      <c r="E37" s="25" t="inlineStr">
        <is>
          <t>Qty</t>
        </is>
      </c>
      <c r="F37" s="25" t="inlineStr">
        <is>
          <t>Estimated Cost ($)</t>
        </is>
      </c>
      <c r="G37" s="25" t="inlineStr">
        <is>
          <t>Actual Cost ($)</t>
        </is>
      </c>
      <c r="H37" s="25" t="inlineStr">
        <is>
          <t>Vendor / Platform</t>
        </is>
      </c>
      <c r="I37" s="25" t="inlineStr">
        <is>
          <t>Status</t>
        </is>
      </c>
      <c r="J37" s="25" t="inlineStr">
        <is>
          <t>Notes</t>
        </is>
      </c>
    </row>
    <row r="38" ht="18" customHeight="1">
      <c r="A38" s="18" t="inlineStr">
        <is>
          <t>Week 1</t>
        </is>
      </c>
      <c r="B38" s="18" t="n"/>
      <c r="C38" s="18" t="n"/>
      <c r="D38" s="19" t="n"/>
      <c r="E38" s="19" t="n"/>
      <c r="F38" s="19" t="n"/>
      <c r="G38" s="19" t="n"/>
      <c r="H38" s="19" t="n"/>
      <c r="I38" s="18" t="n"/>
      <c r="J38" s="18" t="n"/>
    </row>
    <row r="39" ht="18" customHeight="1">
      <c r="A39" s="6" t="inlineStr">
        <is>
          <t>Week 1</t>
        </is>
      </c>
      <c r="B39" s="6" t="n"/>
      <c r="C39" s="6" t="n"/>
      <c r="D39" s="9" t="n"/>
      <c r="E39" s="9" t="n"/>
      <c r="F39" s="9" t="n"/>
      <c r="G39" s="9" t="n"/>
      <c r="H39" s="9" t="n"/>
      <c r="I39" s="6" t="n"/>
      <c r="J39" s="6" t="n"/>
    </row>
    <row r="40" ht="18" customHeight="1">
      <c r="A40" s="18" t="inlineStr">
        <is>
          <t>Week 2</t>
        </is>
      </c>
      <c r="B40" s="18" t="n"/>
      <c r="C40" s="18" t="n"/>
      <c r="D40" s="19" t="n"/>
      <c r="E40" s="19" t="n"/>
      <c r="F40" s="19" t="n"/>
      <c r="G40" s="19" t="n"/>
      <c r="H40" s="19" t="n"/>
      <c r="I40" s="18" t="n"/>
      <c r="J40" s="18" t="n"/>
    </row>
    <row r="41" ht="18" customHeight="1">
      <c r="A41" s="6" t="inlineStr">
        <is>
          <t>Week 2</t>
        </is>
      </c>
      <c r="B41" s="6" t="n"/>
      <c r="C41" s="6" t="n"/>
      <c r="D41" s="9" t="n"/>
      <c r="E41" s="9" t="n"/>
      <c r="F41" s="9" t="n"/>
      <c r="G41" s="9" t="n"/>
      <c r="H41" s="9" t="n"/>
      <c r="I41" s="6" t="n"/>
      <c r="J41" s="6" t="n"/>
    </row>
    <row r="42" ht="18" customHeight="1">
      <c r="A42" s="18" t="inlineStr">
        <is>
          <t>Week 3</t>
        </is>
      </c>
      <c r="B42" s="18" t="n"/>
      <c r="C42" s="18" t="n"/>
      <c r="D42" s="19" t="n"/>
      <c r="E42" s="19" t="n"/>
      <c r="F42" s="19" t="n"/>
      <c r="G42" s="19" t="n"/>
      <c r="H42" s="19" t="n"/>
      <c r="I42" s="18" t="n"/>
      <c r="J42" s="18" t="n"/>
    </row>
    <row r="43" ht="18" customHeight="1">
      <c r="A43" s="6" t="inlineStr">
        <is>
          <t>Week 3</t>
        </is>
      </c>
      <c r="B43" s="6" t="n"/>
      <c r="C43" s="6" t="n"/>
      <c r="D43" s="9" t="n"/>
      <c r="E43" s="9" t="n"/>
      <c r="F43" s="9" t="n"/>
      <c r="G43" s="9" t="n"/>
      <c r="H43" s="9" t="n"/>
      <c r="I43" s="6" t="n"/>
      <c r="J43" s="6" t="n"/>
    </row>
    <row r="44" ht="18" customHeight="1">
      <c r="A44" s="18" t="inlineStr">
        <is>
          <t>Week 4</t>
        </is>
      </c>
      <c r="B44" s="18" t="n"/>
      <c r="C44" s="18" t="n"/>
      <c r="D44" s="19" t="n"/>
      <c r="E44" s="19" t="n"/>
      <c r="F44" s="19" t="n"/>
      <c r="G44" s="19" t="n"/>
      <c r="H44" s="19" t="n"/>
      <c r="I44" s="18" t="n"/>
      <c r="J44" s="18" t="n"/>
    </row>
    <row r="45" ht="18" customHeight="1">
      <c r="A45" s="6" t="inlineStr">
        <is>
          <t>Week 4</t>
        </is>
      </c>
      <c r="B45" s="6" t="n"/>
      <c r="C45" s="6" t="n"/>
      <c r="D45" s="9" t="n"/>
      <c r="E45" s="9" t="n"/>
      <c r="F45" s="9" t="n"/>
      <c r="G45" s="9" t="n"/>
      <c r="H45" s="9" t="n"/>
      <c r="I45" s="6" t="n"/>
      <c r="J45" s="6" t="n"/>
    </row>
    <row r="46" ht="21.75" customHeight="1">
      <c r="A46" s="93" t="inlineStr">
        <is>
          <t>TOTAL CAMPAIGN COSTS</t>
        </is>
      </c>
      <c r="B46" s="163" t="n"/>
      <c r="C46" s="163" t="n"/>
      <c r="D46" s="163" t="n"/>
      <c r="E46" s="163" t="n"/>
      <c r="F46" s="164" t="n"/>
      <c r="G46" s="10">
        <f>SUM(G38:G45)</f>
        <v/>
      </c>
      <c r="H46" s="11" t="n"/>
      <c r="I46" s="11" t="n"/>
      <c r="J46" s="11" t="n"/>
    </row>
    <row r="47" ht="7.5" customHeight="1">
      <c r="A47" s="94" t="n"/>
    </row>
    <row r="48" ht="21.75" customHeight="1">
      <c r="A48" s="104" t="inlineStr">
        <is>
          <t>📊  MASTER BUDGET SUMMARY</t>
        </is>
      </c>
      <c r="B48" s="163" t="n"/>
      <c r="C48" s="163" t="n"/>
      <c r="D48" s="163" t="n"/>
      <c r="E48" s="163" t="n"/>
      <c r="F48" s="163" t="n"/>
      <c r="G48" s="163" t="n"/>
      <c r="H48" s="163" t="n"/>
      <c r="I48" s="163" t="n"/>
      <c r="J48" s="163" t="n"/>
    </row>
    <row r="49" ht="27.75" customHeight="1">
      <c r="A49" s="26" t="n"/>
      <c r="B49" s="26" t="inlineStr">
        <is>
          <t>Line Item</t>
        </is>
      </c>
      <c r="C49" s="26" t="inlineStr">
        <is>
          <t>Description</t>
        </is>
      </c>
      <c r="D49" s="26" t="n"/>
      <c r="E49" s="26" t="n"/>
      <c r="F49" s="26" t="n"/>
      <c r="G49" s="26" t="inlineStr">
        <is>
          <t>Amount ($)</t>
        </is>
      </c>
      <c r="H49" s="26" t="n"/>
      <c r="I49" s="26" t="n"/>
      <c r="J49" s="26" t="n"/>
    </row>
    <row r="50" ht="19.5" customHeight="1">
      <c r="A50" s="105" t="inlineStr">
        <is>
          <t>➕  REVENUE</t>
        </is>
      </c>
      <c r="B50" s="164" t="n"/>
      <c r="C50" s="106" t="n"/>
      <c r="D50" s="163" t="n"/>
      <c r="E50" s="163" t="n"/>
      <c r="F50" s="164" t="n"/>
      <c r="G50" s="107" t="n"/>
      <c r="H50" s="163" t="n"/>
      <c r="I50" s="27" t="n"/>
      <c r="J50" s="27" t="n"/>
    </row>
    <row r="51" ht="19.5" customHeight="1">
      <c r="A51" s="108" t="inlineStr">
        <is>
          <t xml:space="preserve">  Sponsorship Revenue</t>
        </is>
      </c>
      <c r="B51" s="164" t="n"/>
      <c r="C51" s="109" t="inlineStr">
        <is>
          <t>Total sponsorship contributions received</t>
        </is>
      </c>
      <c r="D51" s="163" t="n"/>
      <c r="E51" s="163" t="n"/>
      <c r="F51" s="164" t="n"/>
      <c r="G51" s="110">
        <f>E11</f>
        <v/>
      </c>
      <c r="H51" s="163" t="n"/>
      <c r="I51" s="28" t="n"/>
      <c r="J51" s="28" t="n"/>
    </row>
    <row r="52" ht="19.5" customHeight="1">
      <c r="A52" s="108" t="inlineStr">
        <is>
          <t xml:space="preserve">  Jumpstart Fundraising Revenue</t>
        </is>
      </c>
      <c r="B52" s="164" t="n"/>
      <c r="C52" s="109" t="inlineStr">
        <is>
          <t>Total online/offline donations raised</t>
        </is>
      </c>
      <c r="D52" s="163" t="n"/>
      <c r="E52" s="163" t="n"/>
      <c r="F52" s="164" t="n"/>
      <c r="G52" s="110">
        <f>D20</f>
        <v/>
      </c>
      <c r="H52" s="163" t="n"/>
      <c r="I52" s="28" t="n"/>
      <c r="J52" s="28" t="n"/>
    </row>
    <row r="53" ht="19.5" customHeight="1">
      <c r="A53" s="108" t="inlineStr">
        <is>
          <t xml:space="preserve">  Other Revenue (if any)</t>
        </is>
      </c>
      <c r="B53" s="164" t="n"/>
      <c r="C53" s="109" t="inlineStr">
        <is>
          <t>Ticket sales, donations, etc.</t>
        </is>
      </c>
      <c r="D53" s="163" t="n"/>
      <c r="E53" s="163" t="n"/>
      <c r="F53" s="164" t="n"/>
      <c r="G53" s="111" t="n"/>
      <c r="H53" s="163" t="n"/>
      <c r="I53" s="28" t="n"/>
      <c r="J53" s="28" t="n"/>
    </row>
    <row r="54" ht="19.5" customHeight="1">
      <c r="A54" s="112" t="inlineStr">
        <is>
          <t>TOTAL REVENUE</t>
        </is>
      </c>
      <c r="B54" s="164" t="n"/>
      <c r="C54" s="113" t="inlineStr">
        <is>
          <t>Sum of all revenue streams</t>
        </is>
      </c>
      <c r="D54" s="163" t="n"/>
      <c r="E54" s="163" t="n"/>
      <c r="F54" s="164" t="n"/>
      <c r="G54" s="114">
        <f>G51+G52+G53</f>
        <v/>
      </c>
      <c r="H54" s="163" t="n"/>
      <c r="I54" s="22" t="n"/>
      <c r="J54" s="22" t="n"/>
    </row>
    <row r="55" ht="19.5" customHeight="1">
      <c r="A55" s="105" t="inlineStr">
        <is>
          <t>➖  EXPENSES</t>
        </is>
      </c>
      <c r="B55" s="164" t="n"/>
      <c r="C55" s="106" t="n"/>
      <c r="D55" s="163" t="n"/>
      <c r="E55" s="163" t="n"/>
      <c r="F55" s="164" t="n"/>
      <c r="G55" s="107" t="n"/>
      <c r="H55" s="163" t="n"/>
      <c r="I55" s="27" t="n"/>
      <c r="J55" s="27" t="n"/>
    </row>
    <row r="56" ht="19.5" customHeight="1">
      <c r="A56" s="115" t="inlineStr">
        <is>
          <t xml:space="preserve">  Operations Costs</t>
        </is>
      </c>
      <c r="B56" s="164" t="n"/>
      <c r="C56" s="116" t="inlineStr">
        <is>
          <t>Auto-linked from Operations sheet</t>
        </is>
      </c>
      <c r="D56" s="163" t="n"/>
      <c r="E56" s="163" t="n"/>
      <c r="F56" s="164" t="n"/>
      <c r="G56" s="117">
        <f>Operations!F94</f>
        <v/>
      </c>
      <c r="H56" s="163" t="n"/>
      <c r="I56" s="29" t="n"/>
      <c r="J56" s="29" t="n"/>
    </row>
    <row r="57" ht="19.5" customHeight="1">
      <c r="A57" s="115" t="inlineStr">
        <is>
          <t xml:space="preserve">  Marketing Costs</t>
        </is>
      </c>
      <c r="B57" s="164" t="n"/>
      <c r="C57" s="116" t="inlineStr">
        <is>
          <t>Auto-linked from Marketing sheet</t>
        </is>
      </c>
      <c r="D57" s="163" t="n"/>
      <c r="E57" s="163" t="n"/>
      <c r="F57" s="164" t="n"/>
      <c r="G57" s="117">
        <f>Marketing!F66</f>
        <v/>
      </c>
      <c r="H57" s="163" t="n"/>
      <c r="I57" s="29" t="n"/>
      <c r="J57" s="29" t="n"/>
    </row>
    <row r="58" ht="19.5" customHeight="1">
      <c r="A58" s="115" t="inlineStr">
        <is>
          <t xml:space="preserve">  Prize Costs</t>
        </is>
      </c>
      <c r="B58" s="164" t="n"/>
      <c r="C58" s="116" t="inlineStr">
        <is>
          <t>Auto-linked from Prize section above</t>
        </is>
      </c>
      <c r="D58" s="163" t="n"/>
      <c r="E58" s="163" t="n"/>
      <c r="F58" s="164" t="n"/>
      <c r="G58" s="118">
        <f>F34</f>
        <v/>
      </c>
      <c r="H58" s="163" t="n"/>
      <c r="I58" s="29" t="n"/>
      <c r="J58" s="29" t="n"/>
    </row>
    <row r="59" ht="19.5" customHeight="1">
      <c r="A59" s="115" t="inlineStr">
        <is>
          <t xml:space="preserve">  Campaign Costs</t>
        </is>
      </c>
      <c r="B59" s="164" t="n"/>
      <c r="C59" s="116" t="inlineStr">
        <is>
          <t>Auto-linked from Campaign section above</t>
        </is>
      </c>
      <c r="D59" s="163" t="n"/>
      <c r="E59" s="163" t="n"/>
      <c r="F59" s="164" t="n"/>
      <c r="G59" s="118">
        <f>G46</f>
        <v/>
      </c>
      <c r="H59" s="163" t="n"/>
      <c r="I59" s="29" t="n"/>
      <c r="J59" s="29" t="n"/>
    </row>
    <row r="60" ht="19.5" customHeight="1">
      <c r="A60" s="115" t="inlineStr">
        <is>
          <t xml:space="preserve">  Contingency / Buffer (5%)</t>
        </is>
      </c>
      <c r="B60" s="164" t="n"/>
      <c r="C60" s="116" t="inlineStr">
        <is>
          <t>Recommended 5% buffer on total expenses</t>
        </is>
      </c>
      <c r="D60" s="163" t="n"/>
      <c r="E60" s="163" t="n"/>
      <c r="F60" s="164" t="n"/>
      <c r="G60" s="118">
        <f>(G56+G57+G58+G59)*0.05</f>
        <v/>
      </c>
      <c r="H60" s="163" t="n"/>
      <c r="I60" s="29" t="n"/>
      <c r="J60" s="29" t="n"/>
    </row>
    <row r="61" ht="19.5" customHeight="1">
      <c r="A61" s="121" t="inlineStr">
        <is>
          <t>TOTAL EXPENSES</t>
        </is>
      </c>
      <c r="B61" s="164" t="n"/>
      <c r="C61" s="122" t="inlineStr">
        <is>
          <t>Sum of all expense streams</t>
        </is>
      </c>
      <c r="D61" s="163" t="n"/>
      <c r="E61" s="163" t="n"/>
      <c r="F61" s="164" t="n"/>
      <c r="G61" s="123">
        <f>G56+G57+G58+G59+G60</f>
        <v/>
      </c>
      <c r="H61" s="163" t="n"/>
      <c r="I61" s="30" t="n"/>
      <c r="J61" s="30" t="n"/>
    </row>
    <row r="62" ht="7.5" customHeight="1">
      <c r="A62" s="94" t="n"/>
    </row>
    <row r="63" ht="31.5" customHeight="1">
      <c r="A63" s="119" t="inlineStr">
        <is>
          <t>🏁  NET FUNDS RAISED / (DEFICIT)  =  Total Revenue  −  Total Expenses</t>
        </is>
      </c>
      <c r="B63" s="163" t="n"/>
      <c r="C63" s="163" t="n"/>
      <c r="D63" s="163" t="n"/>
      <c r="E63" s="163" t="n"/>
      <c r="F63" s="163" t="n"/>
      <c r="G63" s="163" t="n"/>
      <c r="H63" s="163" t="n"/>
      <c r="I63" s="120">
        <f>G54-G61</f>
        <v/>
      </c>
      <c r="J63" s="163" t="n"/>
    </row>
    <row r="65" ht="15" customHeight="1">
      <c r="A65" s="96" t="inlineStr">
        <is>
          <t>📌  LEGEND:  Blue = Input  |  Black = Formula  |  Green = Cross-sheet link  |  Gold = Subtotal  |  Red-tinted = Expense  |  Green-tinted = Revenue</t>
        </is>
      </c>
      <c r="B65" s="163" t="n"/>
      <c r="C65" s="163" t="n"/>
      <c r="D65" s="163" t="n"/>
      <c r="E65" s="163" t="n"/>
      <c r="F65" s="163" t="n"/>
      <c r="G65" s="163" t="n"/>
      <c r="H65" s="163" t="n"/>
      <c r="I65" s="163" t="n"/>
      <c r="J65" s="163" t="n"/>
    </row>
  </sheetData>
  <mergeCells count="55">
    <mergeCell ref="G59:H59"/>
    <mergeCell ref="A34:E34"/>
    <mergeCell ref="C52:F52"/>
    <mergeCell ref="A47:J47"/>
    <mergeCell ref="C61:F61"/>
    <mergeCell ref="A46:F46"/>
    <mergeCell ref="A59:B59"/>
    <mergeCell ref="G52:H52"/>
    <mergeCell ref="A60:B60"/>
    <mergeCell ref="A22:J22"/>
    <mergeCell ref="A51:B51"/>
    <mergeCell ref="A62:J62"/>
    <mergeCell ref="A35:J35"/>
    <mergeCell ref="G61:H61"/>
    <mergeCell ref="C57:F57"/>
    <mergeCell ref="A61:B61"/>
    <mergeCell ref="A13:J13"/>
    <mergeCell ref="C53:F53"/>
    <mergeCell ref="A54:B54"/>
    <mergeCell ref="G57:H57"/>
    <mergeCell ref="G53:H53"/>
    <mergeCell ref="A48:J48"/>
    <mergeCell ref="A11:D11"/>
    <mergeCell ref="A56:B56"/>
    <mergeCell ref="C58:F58"/>
    <mergeCell ref="A20:C20"/>
    <mergeCell ref="A55:B55"/>
    <mergeCell ref="A50:B50"/>
    <mergeCell ref="A1:J1"/>
    <mergeCell ref="A36:J36"/>
    <mergeCell ref="A57:B57"/>
    <mergeCell ref="G58:H58"/>
    <mergeCell ref="C54:F54"/>
    <mergeCell ref="A65:J65"/>
    <mergeCell ref="C55:F55"/>
    <mergeCell ref="C50:F50"/>
    <mergeCell ref="A53:B53"/>
    <mergeCell ref="G55:H55"/>
    <mergeCell ref="G51:H51"/>
    <mergeCell ref="C56:F56"/>
    <mergeCell ref="A52:B52"/>
    <mergeCell ref="G54:H54"/>
    <mergeCell ref="A63:H63"/>
    <mergeCell ref="A3:J3"/>
    <mergeCell ref="A21:J21"/>
    <mergeCell ref="I63:J63"/>
    <mergeCell ref="C59:F59"/>
    <mergeCell ref="A12:J12"/>
    <mergeCell ref="G50:H50"/>
    <mergeCell ref="C51:F51"/>
    <mergeCell ref="A2:J2"/>
    <mergeCell ref="C60:F60"/>
    <mergeCell ref="G60:H60"/>
    <mergeCell ref="A58:B58"/>
    <mergeCell ref="G56:H5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Normal="100" workbookViewId="0">
      <pane ySplit="3" topLeftCell="A4" activePane="bottomLeft" state="frozen"/>
      <selection pane="bottomLeft" activeCell="A1" sqref="A1:H1"/>
    </sheetView>
  </sheetViews>
  <sheetFormatPr baseColWidth="8" defaultColWidth="8.6640625" defaultRowHeight="14.4"/>
  <cols>
    <col width="5" customWidth="1" min="1" max="1"/>
    <col width="28" customWidth="1" min="2" max="2"/>
    <col width="22" customWidth="1" min="3" max="3"/>
    <col width="18" customWidth="1" min="4" max="6"/>
    <col width="26" customWidth="1" min="7" max="7"/>
    <col width="30" customWidth="1" min="8" max="8"/>
  </cols>
  <sheetData>
    <row r="1" ht="39.75" customHeight="1">
      <c r="A1" s="124" t="inlineStr">
        <is>
          <t>🤝   SpringSmash 2026 — Sponsorship Tracker</t>
        </is>
      </c>
      <c r="B1" s="163" t="n"/>
      <c r="C1" s="163" t="n"/>
      <c r="D1" s="163" t="n"/>
      <c r="E1" s="163" t="n"/>
      <c r="F1" s="163" t="n"/>
      <c r="G1" s="163" t="n"/>
      <c r="H1" s="163" t="n"/>
    </row>
    <row r="2" ht="19.5" customHeight="1">
      <c r="A2" s="125" t="inlineStr">
        <is>
          <t>Department: Marketing &amp; Finance  |  Event: SpringSmash 2026  |  Event Date: May 14, 2026  |  Last Updated: ___________  |  Prepared By: ___________</t>
        </is>
      </c>
      <c r="B2" s="163" t="n"/>
      <c r="C2" s="163" t="n"/>
      <c r="D2" s="163" t="n"/>
      <c r="E2" s="163" t="n"/>
      <c r="F2" s="163" t="n"/>
      <c r="G2" s="163" t="n"/>
      <c r="H2" s="163" t="n"/>
    </row>
    <row r="3" ht="31.5" customHeight="1">
      <c r="A3" s="31" t="inlineStr">
        <is>
          <t>#</t>
        </is>
      </c>
      <c r="B3" s="31" t="inlineStr">
        <is>
          <t>Sponsor Name</t>
        </is>
      </c>
      <c r="C3" s="31" t="inlineStr">
        <is>
          <t>Sponsorship Tier</t>
        </is>
      </c>
      <c r="D3" s="31" t="inlineStr">
        <is>
          <t>Contribution Amount ($)</t>
        </is>
      </c>
      <c r="E3" s="31" t="inlineStr">
        <is>
          <t>Status</t>
        </is>
      </c>
      <c r="F3" s="31" t="inlineStr">
        <is>
          <t>Date Confirmed</t>
        </is>
      </c>
      <c r="G3" s="31" t="inlineStr">
        <is>
          <t>Recognition Promised</t>
        </is>
      </c>
      <c r="H3" s="31" t="inlineStr">
        <is>
          <t>Notes</t>
        </is>
      </c>
    </row>
    <row r="4" ht="25.5" customHeight="1">
      <c r="A4" s="126" t="inlineStr">
        <is>
          <t xml:space="preserve">  📋  Confirmed &amp; Pipeline Sponsors</t>
        </is>
      </c>
      <c r="B4" s="163" t="n"/>
      <c r="C4" s="163" t="n"/>
      <c r="D4" s="163" t="n"/>
      <c r="E4" s="163" t="n"/>
      <c r="F4" s="163" t="n"/>
      <c r="G4" s="163" t="n"/>
      <c r="H4" s="163" t="n"/>
    </row>
    <row r="5" ht="21.75" customHeight="1">
      <c r="A5" s="32" t="n">
        <v>1</v>
      </c>
      <c r="B5" s="33" t="inlineStr">
        <is>
          <t>McAlpine Ford</t>
        </is>
      </c>
      <c r="C5" s="34" t="inlineStr">
        <is>
          <t>Title Sponsor</t>
        </is>
      </c>
      <c r="D5" s="35" t="n"/>
      <c r="E5" s="36" t="inlineStr">
        <is>
          <t>⏳ Pending</t>
        </is>
      </c>
      <c r="F5" s="37" t="n"/>
      <c r="G5" s="37" t="inlineStr">
        <is>
          <t>Logo on banner, MC mention, social post</t>
        </is>
      </c>
      <c r="H5" s="37" t="n"/>
    </row>
    <row r="6" ht="21.75" customHeight="1">
      <c r="A6" s="38" t="n">
        <v>2</v>
      </c>
      <c r="B6" s="39" t="inlineStr">
        <is>
          <t>JDL Realty</t>
        </is>
      </c>
      <c r="C6" s="40" t="inlineStr">
        <is>
          <t>Gold Sponsor</t>
        </is>
      </c>
      <c r="D6" s="41" t="n"/>
      <c r="E6" s="36" t="inlineStr">
        <is>
          <t>⏳ Pending</t>
        </is>
      </c>
      <c r="F6" s="42" t="n"/>
      <c r="G6" s="42" t="inlineStr">
        <is>
          <t>Logo on banner, event signage</t>
        </is>
      </c>
      <c r="H6" s="42" t="n"/>
    </row>
    <row r="7" ht="21.75" customHeight="1">
      <c r="A7" s="32" t="n">
        <v>3</v>
      </c>
      <c r="B7" s="33" t="inlineStr">
        <is>
          <t>Mimi's Swim School</t>
        </is>
      </c>
      <c r="C7" s="34" t="inlineStr">
        <is>
          <t>Silver Sponsor</t>
        </is>
      </c>
      <c r="D7" s="43" t="n">
        <v>1000</v>
      </c>
      <c r="E7" s="44" t="inlineStr">
        <is>
          <t>📋 Tentative</t>
        </is>
      </c>
      <c r="F7" s="37" t="n"/>
      <c r="G7" s="37" t="inlineStr">
        <is>
          <t>Logo on banner, social post</t>
        </is>
      </c>
      <c r="H7" s="37" t="inlineStr">
        <is>
          <t>~$1,000 estimated — confirm closer to date</t>
        </is>
      </c>
    </row>
    <row r="8" ht="21.75" customHeight="1">
      <c r="A8" s="38" t="n">
        <v>4</v>
      </c>
      <c r="B8" s="39" t="inlineStr">
        <is>
          <t>Orange Theory Fitness</t>
        </is>
      </c>
      <c r="C8" s="40" t="inlineStr">
        <is>
          <t>Silver Sponsor</t>
        </is>
      </c>
      <c r="D8" s="41" t="n"/>
      <c r="E8" s="36" t="inlineStr">
        <is>
          <t>⏳ Pending</t>
        </is>
      </c>
      <c r="F8" s="42" t="n"/>
      <c r="G8" s="42" t="inlineStr">
        <is>
          <t>Logo on banner, promo table</t>
        </is>
      </c>
      <c r="H8" s="42" t="n"/>
    </row>
    <row r="9" ht="21.75" customHeight="1">
      <c r="A9" s="32" t="n">
        <v>5</v>
      </c>
      <c r="B9" s="33" t="inlineStr">
        <is>
          <t>HQ Wellness</t>
        </is>
      </c>
      <c r="C9" s="34" t="inlineStr">
        <is>
          <t>Community Sponsor</t>
        </is>
      </c>
      <c r="D9" s="35" t="n"/>
      <c r="E9" s="36" t="inlineStr">
        <is>
          <t>⏳ Pending</t>
        </is>
      </c>
      <c r="F9" s="37" t="n"/>
      <c r="G9" s="37" t="inlineStr">
        <is>
          <t>Social mention, program listing</t>
        </is>
      </c>
      <c r="H9" s="37" t="n"/>
    </row>
    <row r="10" ht="21.75" customHeight="1">
      <c r="A10" s="38" t="n">
        <v>6</v>
      </c>
      <c r="B10" s="39" t="inlineStr">
        <is>
          <t>Cwench</t>
        </is>
      </c>
      <c r="C10" s="40" t="inlineStr">
        <is>
          <t>Product Sponsor</t>
        </is>
      </c>
      <c r="D10" s="41" t="n"/>
      <c r="E10" s="36" t="inlineStr">
        <is>
          <t>⏳ Pending</t>
        </is>
      </c>
      <c r="F10" s="42" t="n"/>
      <c r="G10" s="42" t="inlineStr">
        <is>
          <t>Product sampling/signage at event</t>
        </is>
      </c>
      <c r="H10" s="42" t="n"/>
    </row>
    <row r="11" ht="21.75" customHeight="1">
      <c r="A11" s="45" t="n">
        <v>7</v>
      </c>
      <c r="B11" s="45" t="n"/>
      <c r="C11" s="45" t="n"/>
      <c r="D11" s="46" t="n"/>
      <c r="E11" s="45" t="n"/>
      <c r="F11" s="45" t="n"/>
      <c r="G11" s="45" t="n"/>
      <c r="H11" s="45" t="n"/>
    </row>
    <row r="12" ht="21.75" customHeight="1">
      <c r="A12" s="47" t="n">
        <v>8</v>
      </c>
      <c r="B12" s="47" t="n"/>
      <c r="C12" s="47" t="n"/>
      <c r="D12" s="48" t="n"/>
      <c r="E12" s="47" t="n"/>
      <c r="F12" s="47" t="n"/>
      <c r="G12" s="47" t="n"/>
      <c r="H12" s="47" t="n"/>
    </row>
    <row r="13" ht="21.75" customHeight="1">
      <c r="A13" s="45" t="n">
        <v>9</v>
      </c>
      <c r="B13" s="45" t="n"/>
      <c r="C13" s="45" t="n"/>
      <c r="D13" s="46" t="n"/>
      <c r="E13" s="45" t="n"/>
      <c r="F13" s="45" t="n"/>
      <c r="G13" s="45" t="n"/>
      <c r="H13" s="45" t="n"/>
    </row>
    <row r="14" ht="25.5" customHeight="1">
      <c r="A14" s="127" t="inlineStr">
        <is>
          <t>💰   TOTAL SPONSORSHIP REVENUE</t>
        </is>
      </c>
      <c r="B14" s="163" t="n"/>
      <c r="C14" s="164" t="n"/>
      <c r="D14" s="49">
        <f>SUM(D5:D13)</f>
        <v/>
      </c>
      <c r="E14" s="50" t="n"/>
      <c r="F14" s="50" t="n"/>
      <c r="G14" s="50" t="n"/>
      <c r="H14" s="50" t="n"/>
    </row>
    <row r="15" ht="7.5" customHeight="1">
      <c r="A15" s="94" t="n"/>
    </row>
    <row r="16" ht="18" customHeight="1">
      <c r="A16" s="96" t="inlineStr">
        <is>
          <t>📌  STATUS KEY:   ✅ Confirmed = Cheque/transfer received   |   ⏳ Pending = Verbal/email commitment, awaiting confirmation   |   📋 Tentative = Estimated, not yet confirmed</t>
        </is>
      </c>
      <c r="B16" s="163" t="n"/>
      <c r="C16" s="163" t="n"/>
      <c r="D16" s="163" t="n"/>
      <c r="E16" s="163" t="n"/>
      <c r="F16" s="163" t="n"/>
      <c r="G16" s="163" t="n"/>
      <c r="H16" s="163" t="n"/>
    </row>
    <row r="17" ht="15.75" customHeight="1">
      <c r="A17" s="96" t="inlineStr">
        <is>
          <t>📌  LEGEND:  Blue text = Input cells (enter your data)  |  Black text = Auto-calculated  |  D14 = Used in MASTER BUDGET via formula</t>
        </is>
      </c>
      <c r="B17" s="163" t="n"/>
      <c r="C17" s="163" t="n"/>
      <c r="D17" s="163" t="n"/>
      <c r="E17" s="163" t="n"/>
      <c r="F17" s="163" t="n"/>
      <c r="G17" s="163" t="n"/>
      <c r="H17" s="163" t="n"/>
    </row>
  </sheetData>
  <mergeCells count="7">
    <mergeCell ref="A4:H4"/>
    <mergeCell ref="A15:H15"/>
    <mergeCell ref="A14:C14"/>
    <mergeCell ref="A16:H16"/>
    <mergeCell ref="A2:H2"/>
    <mergeCell ref="A1:H1"/>
    <mergeCell ref="A17:H17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zoomScaleNormal="100" workbookViewId="0">
      <pane ySplit="2" topLeftCell="A29" activePane="bottomLeft" state="frozen"/>
      <selection pane="bottomLeft" activeCell="A1" sqref="A1:G1"/>
    </sheetView>
  </sheetViews>
  <sheetFormatPr baseColWidth="8" defaultColWidth="8.6640625" defaultRowHeight="14.4"/>
  <cols>
    <col width="3" customWidth="1" min="1" max="1"/>
    <col width="20" customWidth="1" min="2" max="2"/>
    <col width="26" customWidth="1" min="3" max="3"/>
    <col width="20" customWidth="1" min="4" max="4"/>
    <col width="16" customWidth="1" min="5" max="5"/>
    <col width="20" customWidth="1" min="6" max="6"/>
    <col width="3" customWidth="1" min="7" max="7"/>
  </cols>
  <sheetData>
    <row r="1" ht="49.5" customHeight="1">
      <c r="A1" s="128" t="inlineStr">
        <is>
          <t>📊   SpringSmash 2026  ·  MASTER BUDGET</t>
        </is>
      </c>
      <c r="B1" s="163" t="n"/>
      <c r="C1" s="163" t="n"/>
      <c r="D1" s="163" t="n"/>
      <c r="E1" s="163" t="n"/>
      <c r="F1" s="163" t="n"/>
      <c r="G1" s="163" t="n"/>
    </row>
    <row r="2" ht="19.5" customHeight="1">
      <c r="A2" s="125" t="inlineStr">
        <is>
          <t>Event: SpringSmash 2026  |  Charity: Jumpstart  |  Date: May 14, 2026  |  School: McEwen  |  Supervisor: Mr. Ludwig  |  Prepared By: ___________  |  Updated: ___________</t>
        </is>
      </c>
      <c r="B2" s="163" t="n"/>
      <c r="C2" s="163" t="n"/>
      <c r="D2" s="163" t="n"/>
      <c r="E2" s="163" t="n"/>
      <c r="F2" s="163" t="n"/>
      <c r="G2" s="163" t="n"/>
    </row>
    <row r="3" ht="7.5" customHeight="1">
      <c r="A3" s="129" t="n"/>
      <c r="B3" s="163" t="n"/>
      <c r="C3" s="163" t="n"/>
      <c r="D3" s="163" t="n"/>
      <c r="E3" s="163" t="n"/>
      <c r="F3" s="163" t="n"/>
      <c r="G3" s="163" t="n"/>
    </row>
    <row r="4" ht="27.75" customHeight="1">
      <c r="A4" s="130" t="inlineStr">
        <is>
          <t xml:space="preserve">  🔢  AT-A-GLANCE SNAPSHOT</t>
        </is>
      </c>
      <c r="B4" s="163" t="n"/>
      <c r="C4" s="163" t="n"/>
      <c r="D4" s="163" t="n"/>
      <c r="E4" s="163" t="n"/>
      <c r="F4" s="163" t="n"/>
      <c r="G4" s="163" t="n"/>
    </row>
    <row r="5" ht="21.75" customHeight="1">
      <c r="A5" s="27" t="n"/>
      <c r="B5" s="131" t="inlineStr">
        <is>
          <t>💰  TOTAL REVENUE</t>
        </is>
      </c>
      <c r="C5" s="163" t="n"/>
      <c r="D5" s="27" t="n"/>
      <c r="E5" s="132" t="inlineStr">
        <is>
          <t>📤  TOTAL EXPENSES</t>
        </is>
      </c>
      <c r="F5" s="163" t="n"/>
      <c r="G5" s="27" t="n"/>
    </row>
    <row r="6" ht="37.5" customHeight="1">
      <c r="A6" s="27" t="n"/>
      <c r="B6" s="133">
        <f>F21</f>
        <v/>
      </c>
      <c r="C6" s="165" t="n"/>
      <c r="D6" s="27" t="n"/>
      <c r="E6" s="134">
        <f>F29</f>
        <v/>
      </c>
      <c r="F6" s="165" t="n"/>
      <c r="G6" s="27" t="n"/>
    </row>
    <row r="7" ht="7.5" customHeight="1">
      <c r="A7" s="129" t="n"/>
      <c r="B7" s="163" t="n"/>
      <c r="C7" s="163" t="n"/>
      <c r="D7" s="163" t="n"/>
      <c r="E7" s="163" t="n"/>
      <c r="F7" s="163" t="n"/>
      <c r="G7" s="163" t="n"/>
    </row>
    <row r="8" ht="21.75" customHeight="1">
      <c r="A8" s="27" t="n"/>
      <c r="B8" s="135" t="inlineStr">
        <is>
          <t>🏅  OPERATIONS BUDGET</t>
        </is>
      </c>
      <c r="C8" s="163" t="n"/>
      <c r="D8" s="27" t="n"/>
      <c r="E8" s="136" t="inlineStr">
        <is>
          <t>🎨  MARKETING BUDGET</t>
        </is>
      </c>
      <c r="F8" s="163" t="n"/>
      <c r="G8" s="27" t="n"/>
    </row>
    <row r="9" ht="37.5" customHeight="1">
      <c r="A9" s="27" t="n"/>
      <c r="B9" s="137">
        <f>Operations!F94</f>
        <v/>
      </c>
      <c r="C9" s="165" t="n"/>
      <c r="D9" s="27" t="n"/>
      <c r="E9" s="138">
        <f>Marketing!F66</f>
        <v/>
      </c>
      <c r="F9" s="165" t="n"/>
      <c r="G9" s="27" t="n"/>
    </row>
    <row r="10" ht="21.75" customHeight="1">
      <c r="A10" s="27" t="n"/>
      <c r="B10" s="139" t="inlineStr">
        <is>
          <t>🏁  NET FUNDS RAISED / (DEFICIT)</t>
        </is>
      </c>
      <c r="C10" s="163" t="n"/>
      <c r="D10" s="163" t="n"/>
      <c r="E10" s="163" t="n"/>
      <c r="F10" s="163" t="n"/>
      <c r="G10" s="27" t="n"/>
    </row>
    <row r="11" ht="43.5" customHeight="1">
      <c r="A11" s="27" t="n"/>
      <c r="B11" s="140">
        <f>F33-F34</f>
        <v/>
      </c>
      <c r="C11" s="165" t="n"/>
      <c r="D11" s="165" t="n"/>
      <c r="E11" s="165" t="n"/>
      <c r="F11" s="165" t="n"/>
      <c r="G11" s="27" t="n"/>
    </row>
    <row r="12" ht="9.75" customHeight="1">
      <c r="A12" s="129" t="n"/>
      <c r="B12" s="163" t="n"/>
      <c r="C12" s="163" t="n"/>
      <c r="D12" s="163" t="n"/>
      <c r="E12" s="163" t="n"/>
      <c r="F12" s="163" t="n"/>
      <c r="G12" s="163" t="n"/>
    </row>
    <row r="13" ht="25.5" customHeight="1">
      <c r="A13" s="130" t="inlineStr">
        <is>
          <t xml:space="preserve">  📋  HOW TO USE THIS WORKBOOK</t>
        </is>
      </c>
      <c r="B13" s="163" t="n"/>
      <c r="C13" s="163" t="n"/>
      <c r="D13" s="163" t="n"/>
      <c r="E13" s="163" t="n"/>
      <c r="F13" s="163" t="n"/>
      <c r="G13" s="163" t="n"/>
    </row>
    <row r="14" ht="72" customHeight="1">
      <c r="A14" s="28" t="n"/>
      <c r="B14" s="141" t="inlineStr">
        <is>
          <t>1.  Operations Tab  →  Enter all event costs: inflatables, food, equipment, sports gear, VIP, DJ, health &amp; safety
2.  Marketing Tab   →  Enter branding, swag, prizes, campaigns, sponsorship materials, press/website
3.  Finance Tab     →  Enter sponsorship revenue received and week-by-week fundraising data
4.  Sponsorship Tab →  Track all sponsors, tiers, amounts, and confirmation status
5.  This Sheet      →  All totals auto-update — no manual entry needed here
🔵 Blue text = Data entry cells   ·   ⚫ Black text = Auto-calculated   ·   🟢 Green text = Cross-sheet link</t>
        </is>
      </c>
      <c r="C14" s="163" t="n"/>
      <c r="D14" s="163" t="n"/>
      <c r="E14" s="163" t="n"/>
      <c r="F14" s="163" t="n"/>
      <c r="G14" s="28" t="n"/>
    </row>
    <row r="15" ht="9.75" customHeight="1">
      <c r="A15" s="129" t="n"/>
      <c r="B15" s="163" t="n"/>
      <c r="C15" s="163" t="n"/>
      <c r="D15" s="163" t="n"/>
      <c r="E15" s="163" t="n"/>
      <c r="F15" s="163" t="n"/>
      <c r="G15" s="163" t="n"/>
    </row>
    <row r="16" ht="30" customHeight="1">
      <c r="A16" s="142" t="inlineStr">
        <is>
          <t xml:space="preserve">  ➕  REVENUE</t>
        </is>
      </c>
      <c r="B16" s="163" t="n"/>
      <c r="C16" s="163" t="n"/>
      <c r="D16" s="163" t="n"/>
      <c r="E16" s="163" t="n"/>
      <c r="F16" s="163" t="n"/>
      <c r="G16" s="163" t="n"/>
    </row>
    <row r="17" ht="25.5" customHeight="1">
      <c r="A17" s="51" t="n"/>
      <c r="B17" s="52" t="inlineStr">
        <is>
          <t>Section</t>
        </is>
      </c>
      <c r="C17" s="52" t="inlineStr">
        <is>
          <t>Line Item</t>
        </is>
      </c>
      <c r="D17" s="52" t="inlineStr">
        <is>
          <t>Description / Source</t>
        </is>
      </c>
      <c r="E17" s="51" t="n"/>
      <c r="F17" s="53" t="inlineStr">
        <is>
          <t>Amount ($)</t>
        </is>
      </c>
      <c r="G17" s="51" t="n"/>
    </row>
    <row r="18" ht="21.75" customHeight="1">
      <c r="A18" s="54" t="inlineStr">
        <is>
          <t>Revenue</t>
        </is>
      </c>
      <c r="B18" s="55" t="inlineStr">
        <is>
          <t>Sponsorship Revenue</t>
        </is>
      </c>
      <c r="C18" s="143" t="inlineStr">
        <is>
          <t>Linked from Sponsorship sheet (cell D14)</t>
        </is>
      </c>
      <c r="D18" s="163" t="n"/>
      <c r="E18" s="56" t="n"/>
      <c r="F18" s="57">
        <f>Sponsorship!D14</f>
        <v/>
      </c>
      <c r="G18" s="56" t="n"/>
    </row>
    <row r="19" ht="21.75" customHeight="1">
      <c r="A19" s="54" t="inlineStr">
        <is>
          <t>Revenue</t>
        </is>
      </c>
      <c r="B19" s="55" t="inlineStr">
        <is>
          <t>Jumpstart Fundraising Revenue</t>
        </is>
      </c>
      <c r="C19" s="143" t="inlineStr">
        <is>
          <t>Total online + offline donations raised via Jumpstart — enter when available</t>
        </is>
      </c>
      <c r="D19" s="163" t="n"/>
      <c r="E19" s="56" t="n"/>
      <c r="F19" s="58" t="n"/>
      <c r="G19" s="56" t="n"/>
    </row>
    <row r="20" ht="21.75" customHeight="1">
      <c r="A20" s="54" t="inlineStr">
        <is>
          <t>Revenue</t>
        </is>
      </c>
      <c r="B20" s="55" t="inlineStr">
        <is>
          <t>Other Revenue</t>
        </is>
      </c>
      <c r="C20" s="143" t="inlineStr">
        <is>
          <t>Ticket sales, additional donations, grants, etc. (enter if applicable)</t>
        </is>
      </c>
      <c r="D20" s="163" t="n"/>
      <c r="E20" s="56" t="n"/>
      <c r="F20" s="58" t="n"/>
      <c r="G20" s="56" t="n"/>
    </row>
    <row r="21" ht="30" customHeight="1">
      <c r="A21" s="144" t="inlineStr">
        <is>
          <t>TOTAL REVENUE</t>
        </is>
      </c>
      <c r="B21" s="163" t="n"/>
      <c r="C21" s="163" t="n"/>
      <c r="D21" s="163" t="n"/>
      <c r="E21" s="164" t="n"/>
      <c r="F21" s="59">
        <f>F18+F19+F20</f>
        <v/>
      </c>
      <c r="G21" s="60" t="n"/>
    </row>
    <row r="22" ht="9.75" customHeight="1">
      <c r="A22" s="129" t="n"/>
      <c r="B22" s="163" t="n"/>
      <c r="C22" s="163" t="n"/>
      <c r="D22" s="163" t="n"/>
      <c r="E22" s="163" t="n"/>
      <c r="F22" s="163" t="n"/>
      <c r="G22" s="163" t="n"/>
    </row>
    <row r="23" ht="30" customHeight="1">
      <c r="A23" s="145" t="inlineStr">
        <is>
          <t xml:space="preserve">  ➖  EXPENSES</t>
        </is>
      </c>
      <c r="B23" s="163" t="n"/>
      <c r="C23" s="163" t="n"/>
      <c r="D23" s="163" t="n"/>
      <c r="E23" s="163" t="n"/>
      <c r="F23" s="163" t="n"/>
      <c r="G23" s="163" t="n"/>
    </row>
    <row r="24" ht="25.5" customHeight="1">
      <c r="A24" s="61" t="n"/>
      <c r="B24" s="62" t="inlineStr">
        <is>
          <t>Section</t>
        </is>
      </c>
      <c r="C24" s="62" t="inlineStr">
        <is>
          <t>Line Item</t>
        </is>
      </c>
      <c r="D24" s="62" t="inlineStr">
        <is>
          <t>Description / Source</t>
        </is>
      </c>
      <c r="E24" s="61" t="n"/>
      <c r="F24" s="63" t="inlineStr">
        <is>
          <t>Amount ($)</t>
        </is>
      </c>
      <c r="G24" s="61" t="n"/>
    </row>
    <row r="25" ht="21.75" customHeight="1">
      <c r="A25" s="64" t="inlineStr">
        <is>
          <t>Expenses</t>
        </is>
      </c>
      <c r="B25" s="65" t="inlineStr">
        <is>
          <t>Operations Costs</t>
        </is>
      </c>
      <c r="C25" s="146" t="inlineStr">
        <is>
          <t>Linked from Operations sheet — all 11 subcategories (Operations!F94)</t>
        </is>
      </c>
      <c r="D25" s="163" t="n"/>
      <c r="E25" s="29" t="n"/>
      <c r="F25" s="66">
        <f>Operations!F94</f>
        <v/>
      </c>
      <c r="G25" s="29" t="n"/>
    </row>
    <row r="26" ht="21.75" customHeight="1">
      <c r="A26" s="64" t="inlineStr">
        <is>
          <t>Expenses</t>
        </is>
      </c>
      <c r="B26" s="65" t="inlineStr">
        <is>
          <t>Marketing Costs</t>
        </is>
      </c>
      <c r="C26" s="146" t="inlineStr">
        <is>
          <t>Linked from Marketing sheet — all 8 subcategories (Marketing!F66)</t>
        </is>
      </c>
      <c r="D26" s="163" t="n"/>
      <c r="E26" s="29" t="n"/>
      <c r="F26" s="66">
        <f>Marketing!F66</f>
        <v/>
      </c>
      <c r="G26" s="29" t="n"/>
    </row>
    <row r="27" ht="21.75" customHeight="1">
      <c r="A27" s="64" t="inlineStr">
        <is>
          <t>Expenses</t>
        </is>
      </c>
      <c r="B27" s="65" t="inlineStr">
        <is>
          <t>Finance / Prize &amp; Campaign Costs</t>
        </is>
      </c>
      <c r="C27" s="146" t="inlineStr">
        <is>
          <t>Linked from Finance sheet — prize pool (G58) + campaign costs (G59)</t>
        </is>
      </c>
      <c r="D27" s="163" t="n"/>
      <c r="E27" s="29" t="n"/>
      <c r="F27" s="66">
        <f>Finance!G58+Finance!G59</f>
        <v/>
      </c>
      <c r="G27" s="29" t="n"/>
    </row>
    <row r="28" ht="21.75" customHeight="1">
      <c r="A28" s="64" t="inlineStr">
        <is>
          <t>Expenses</t>
        </is>
      </c>
      <c r="B28" s="65" t="inlineStr">
        <is>
          <t>Contingency Reserve (5%)</t>
        </is>
      </c>
      <c r="C28" s="146" t="inlineStr">
        <is>
          <t>Recommended 5% buffer applied to all operational expenses</t>
        </is>
      </c>
      <c r="D28" s="163" t="n"/>
      <c r="E28" s="29" t="n"/>
      <c r="F28" s="66">
        <f>(F25+F26+F27)*0.05</f>
        <v/>
      </c>
      <c r="G28" s="29" t="n"/>
    </row>
    <row r="29" ht="30" customHeight="1">
      <c r="A29" s="147" t="inlineStr">
        <is>
          <t>TOTAL EXPENSES</t>
        </is>
      </c>
      <c r="B29" s="163" t="n"/>
      <c r="C29" s="163" t="n"/>
      <c r="D29" s="163" t="n"/>
      <c r="E29" s="164" t="n"/>
      <c r="F29" s="67">
        <f>F25+F26+F27+F28</f>
        <v/>
      </c>
      <c r="G29" s="68" t="n"/>
    </row>
    <row r="30" ht="9.75" customHeight="1">
      <c r="A30" s="129" t="n"/>
      <c r="B30" s="163" t="n"/>
      <c r="C30" s="163" t="n"/>
      <c r="D30" s="163" t="n"/>
      <c r="E30" s="163" t="n"/>
      <c r="F30" s="163" t="n"/>
      <c r="G30" s="163" t="n"/>
    </row>
    <row r="31" ht="30" customHeight="1">
      <c r="A31" s="148" t="inlineStr">
        <is>
          <t xml:space="preserve">  📋  FINANCIAL SUMMARY</t>
        </is>
      </c>
      <c r="B31" s="163" t="n"/>
      <c r="C31" s="163" t="n"/>
      <c r="D31" s="163" t="n"/>
      <c r="E31" s="163" t="n"/>
      <c r="F31" s="163" t="n"/>
      <c r="G31" s="163" t="n"/>
    </row>
    <row r="32" ht="25.5" customHeight="1">
      <c r="A32" s="69" t="n"/>
      <c r="B32" s="70" t="inlineStr">
        <is>
          <t>Section</t>
        </is>
      </c>
      <c r="C32" s="70" t="inlineStr">
        <is>
          <t>Line Item</t>
        </is>
      </c>
      <c r="D32" s="70" t="inlineStr">
        <is>
          <t>Description / Source</t>
        </is>
      </c>
      <c r="E32" s="69" t="n"/>
      <c r="F32" s="71" t="inlineStr">
        <is>
          <t>Amount ($)</t>
        </is>
      </c>
      <c r="G32" s="69" t="n"/>
    </row>
    <row r="33" ht="21.75" customHeight="1">
      <c r="A33" s="54" t="inlineStr">
        <is>
          <t>Summary</t>
        </is>
      </c>
      <c r="B33" s="55" t="inlineStr">
        <is>
          <t>Total Revenue</t>
        </is>
      </c>
      <c r="C33" s="143" t="inlineStr">
        <is>
          <t>Sum of all revenue streams</t>
        </is>
      </c>
      <c r="D33" s="163" t="n"/>
      <c r="E33" s="56" t="n"/>
      <c r="F33" s="57">
        <f>F21</f>
        <v/>
      </c>
      <c r="G33" s="56" t="n"/>
    </row>
    <row r="34" ht="21.75" customHeight="1">
      <c r="A34" s="64" t="inlineStr">
        <is>
          <t>Summary</t>
        </is>
      </c>
      <c r="B34" s="65" t="inlineStr">
        <is>
          <t>Total Expenses</t>
        </is>
      </c>
      <c r="C34" s="146" t="inlineStr">
        <is>
          <t>Sum of all expense streams including contingency</t>
        </is>
      </c>
      <c r="D34" s="163" t="n"/>
      <c r="E34" s="29" t="n"/>
      <c r="F34" s="66">
        <f>F29</f>
        <v/>
      </c>
      <c r="G34" s="29" t="n"/>
    </row>
    <row r="35" ht="21.75" customHeight="1">
      <c r="A35" s="72" t="inlineStr">
        <is>
          <t>Summary</t>
        </is>
      </c>
      <c r="B35" s="73" t="inlineStr">
        <is>
          <t>Variance (Revenue − Expenses)</t>
        </is>
      </c>
      <c r="C35" s="149" t="inlineStr">
        <is>
          <t>Positive = surplus for Jumpstart  ·  Negative = deficit requiring action</t>
        </is>
      </c>
      <c r="D35" s="163" t="n"/>
      <c r="E35" s="74" t="n"/>
      <c r="F35" s="75">
        <f>F33-F34</f>
        <v/>
      </c>
      <c r="G35" s="74" t="n"/>
    </row>
    <row r="36" ht="7.5" customHeight="1">
      <c r="A36" s="129" t="n"/>
      <c r="B36" s="163" t="n"/>
      <c r="C36" s="163" t="n"/>
      <c r="D36" s="163" t="n"/>
      <c r="E36" s="163" t="n"/>
      <c r="F36" s="163" t="n"/>
      <c r="G36" s="163" t="n"/>
    </row>
    <row r="37" ht="54" customHeight="1">
      <c r="A37" s="150" t="inlineStr">
        <is>
          <t>🏁   NET PROFIT / (LOSS)</t>
        </is>
      </c>
      <c r="B37" s="163" t="n"/>
      <c r="C37" s="163" t="n"/>
      <c r="D37" s="164" t="n"/>
      <c r="E37" s="151">
        <f>F33-F34</f>
        <v/>
      </c>
      <c r="F37" s="165" t="n"/>
      <c r="G37" s="166" t="n"/>
    </row>
    <row r="38" ht="9.75" customHeight="1">
      <c r="A38" s="129" t="n"/>
      <c r="B38" s="163" t="n"/>
      <c r="C38" s="163" t="n"/>
      <c r="D38" s="163" t="n"/>
      <c r="E38" s="163" t="n"/>
      <c r="F38" s="163" t="n"/>
      <c r="G38" s="163" t="n"/>
    </row>
    <row r="39" ht="25.5" customHeight="1">
      <c r="A39" s="152" t="inlineStr">
        <is>
          <t xml:space="preserve">  🚦  BUDGET STATUS GUIDE</t>
        </is>
      </c>
      <c r="B39" s="163" t="n"/>
      <c r="C39" s="163" t="n"/>
      <c r="D39" s="163" t="n"/>
      <c r="E39" s="163" t="n"/>
      <c r="F39" s="163" t="n"/>
      <c r="G39" s="163" t="n"/>
    </row>
    <row r="40" ht="25.5" customHeight="1">
      <c r="A40" s="153" t="inlineStr">
        <is>
          <t>✅  PROFITABLE</t>
        </is>
      </c>
      <c r="B40" s="163" t="n"/>
      <c r="C40" s="76" t="inlineStr">
        <is>
          <t>Net Profit &gt; $0</t>
        </is>
      </c>
      <c r="D40" s="154" t="inlineStr">
        <is>
          <t>Revenue exceeds expenses — surplus funds go directly to Jumpstart.</t>
        </is>
      </c>
      <c r="E40" s="163" t="n"/>
      <c r="F40" s="163" t="n"/>
      <c r="G40" s="163" t="n"/>
    </row>
    <row r="41" ht="25.5" customHeight="1">
      <c r="A41" s="155" t="inlineStr">
        <is>
          <t>⚖️  BREAK-EVEN</t>
        </is>
      </c>
      <c r="B41" s="163" t="n"/>
      <c r="C41" s="77" t="inlineStr">
        <is>
          <t>Net Profit ≈ $0</t>
        </is>
      </c>
      <c r="D41" s="156" t="inlineStr">
        <is>
          <t>Revenue covers all costs. No surplus or deficit — review for optimisation.</t>
        </is>
      </c>
      <c r="E41" s="163" t="n"/>
      <c r="F41" s="163" t="n"/>
      <c r="G41" s="163" t="n"/>
    </row>
    <row r="42" ht="25.5" customHeight="1">
      <c r="A42" s="157" t="inlineStr">
        <is>
          <t>⚠️  OVER BUDGET</t>
        </is>
      </c>
      <c r="B42" s="163" t="n"/>
      <c r="C42" s="78" t="inlineStr">
        <is>
          <t>Net Profit &lt; $0</t>
        </is>
      </c>
      <c r="D42" s="158" t="inlineStr">
        <is>
          <t>Expenses exceed revenue. Reduce costs or increase sponsorship/fundraising.</t>
        </is>
      </c>
      <c r="E42" s="163" t="n"/>
      <c r="F42" s="163" t="n"/>
      <c r="G42" s="163" t="n"/>
    </row>
    <row r="43" ht="9.75" customHeight="1">
      <c r="A43" s="129" t="n"/>
      <c r="B43" s="163" t="n"/>
      <c r="C43" s="163" t="n"/>
      <c r="D43" s="163" t="n"/>
      <c r="E43" s="163" t="n"/>
      <c r="F43" s="163" t="n"/>
      <c r="G43" s="163" t="n"/>
    </row>
    <row r="44" ht="25.5" customHeight="1">
      <c r="A44" s="152" t="inlineStr">
        <is>
          <t xml:space="preserve">  🔗  FORMULA CROSS-REFERENCE</t>
        </is>
      </c>
      <c r="B44" s="163" t="n"/>
      <c r="C44" s="163" t="n"/>
      <c r="D44" s="163" t="n"/>
      <c r="E44" s="163" t="n"/>
      <c r="F44" s="163" t="n"/>
      <c r="G44" s="163" t="n"/>
    </row>
    <row r="45" ht="25.5" customHeight="1">
      <c r="A45" s="79" t="n"/>
      <c r="B45" s="80" t="inlineStr">
        <is>
          <t>Line Item</t>
        </is>
      </c>
      <c r="C45" s="80" t="inlineStr">
        <is>
          <t>Excel Formula</t>
        </is>
      </c>
      <c r="D45" s="80" t="inlineStr">
        <is>
          <t>Data Source / Sheet</t>
        </is>
      </c>
      <c r="E45" s="79" t="n"/>
      <c r="F45" s="80" t="inlineStr">
        <is>
          <t>Notes</t>
        </is>
      </c>
      <c r="G45" s="79" t="n"/>
    </row>
    <row r="46" ht="19.5" customHeight="1">
      <c r="A46" s="159" t="inlineStr">
        <is>
          <t>Sponsorship Revenue</t>
        </is>
      </c>
      <c r="B46" s="163" t="n"/>
      <c r="C46" s="81">
        <f>Sponsorship!D14</f>
        <v/>
      </c>
      <c r="D46" s="82" t="inlineStr">
        <is>
          <t>Sponsorship sheet</t>
        </is>
      </c>
      <c r="E46" s="160" t="inlineStr">
        <is>
          <t>Sum of all confirmed + tentative amounts in col D</t>
        </is>
      </c>
      <c r="F46" s="163" t="n"/>
      <c r="G46" s="163" t="n"/>
    </row>
    <row r="47" ht="19.5" customHeight="1">
      <c r="A47" s="161" t="inlineStr">
        <is>
          <t>Operations Total</t>
        </is>
      </c>
      <c r="B47" s="163" t="n"/>
      <c r="C47" s="83">
        <f>Operations!F94</f>
        <v/>
      </c>
      <c r="D47" s="84" t="inlineStr">
        <is>
          <t>Operations sheet</t>
        </is>
      </c>
      <c r="E47" s="162" t="inlineStr">
        <is>
          <t>Grand total of all 11 operational sections</t>
        </is>
      </c>
      <c r="F47" s="163" t="n"/>
      <c r="G47" s="163" t="n"/>
    </row>
    <row r="48" ht="19.5" customHeight="1">
      <c r="A48" s="159" t="inlineStr">
        <is>
          <t>Marketing Total</t>
        </is>
      </c>
      <c r="B48" s="163" t="n"/>
      <c r="C48" s="81">
        <f>Marketing!F66</f>
        <v/>
      </c>
      <c r="D48" s="82" t="inlineStr">
        <is>
          <t>Marketing sheet</t>
        </is>
      </c>
      <c r="E48" s="160" t="inlineStr">
        <is>
          <t>Grand total of all 8 marketing sections</t>
        </is>
      </c>
      <c r="F48" s="163" t="n"/>
      <c r="G48" s="163" t="n"/>
    </row>
    <row r="49" ht="19.5" customHeight="1">
      <c r="A49" s="161" t="inlineStr">
        <is>
          <t>Finance (Prize + Campaign)</t>
        </is>
      </c>
      <c r="B49" s="163" t="n"/>
      <c r="C49" s="85">
        <f>Finance!G58+Finance!G59</f>
        <v/>
      </c>
      <c r="D49" s="84" t="inlineStr">
        <is>
          <t>Finance sheet</t>
        </is>
      </c>
      <c r="E49" s="162" t="inlineStr">
        <is>
          <t>Prize costs row + Campaign costs row</t>
        </is>
      </c>
      <c r="F49" s="163" t="n"/>
      <c r="G49" s="163" t="n"/>
    </row>
    <row r="50" ht="19.5" customHeight="1">
      <c r="A50" s="159" t="inlineStr">
        <is>
          <t>Contingency (5%)</t>
        </is>
      </c>
      <c r="B50" s="163" t="n"/>
      <c r="C50" s="86" t="inlineStr">
        <is>
          <t>(OperationsTotal + MarketingTotal + FinanceCosts) x 0.05</t>
        </is>
      </c>
      <c r="D50" s="82" t="inlineStr">
        <is>
          <t>This sheet</t>
        </is>
      </c>
      <c r="E50" s="160" t="inlineStr">
        <is>
          <t>Buffer for unplanned expenses — adjust % if needed</t>
        </is>
      </c>
      <c r="F50" s="163" t="n"/>
      <c r="G50" s="163" t="n"/>
    </row>
    <row r="51" ht="19.5" customHeight="1">
      <c r="A51" s="161" t="inlineStr">
        <is>
          <t>Total Revenue</t>
        </is>
      </c>
      <c r="B51" s="163" t="n"/>
      <c r="C51" s="83">
        <f>F21</f>
        <v/>
      </c>
      <c r="D51" s="84" t="inlineStr">
        <is>
          <t>This sheet</t>
        </is>
      </c>
      <c r="E51" s="162" t="inlineStr">
        <is>
          <t>Sponsorship + Fundraising + Other</t>
        </is>
      </c>
      <c r="F51" s="163" t="n"/>
      <c r="G51" s="163" t="n"/>
    </row>
    <row r="52" ht="19.5" customHeight="1">
      <c r="A52" s="159" t="inlineStr">
        <is>
          <t>Total Expenses</t>
        </is>
      </c>
      <c r="B52" s="163" t="n"/>
      <c r="C52" s="81">
        <f>F29</f>
        <v/>
      </c>
      <c r="D52" s="82" t="inlineStr">
        <is>
          <t>This sheet</t>
        </is>
      </c>
      <c r="E52" s="160" t="inlineStr">
        <is>
          <t>Ops + Marketing + Finance + Contingency</t>
        </is>
      </c>
      <c r="F52" s="163" t="n"/>
      <c r="G52" s="163" t="n"/>
    </row>
    <row r="53" ht="19.5" customHeight="1">
      <c r="A53" s="161" t="inlineStr">
        <is>
          <t>Net Profit / Loss</t>
        </is>
      </c>
      <c r="B53" s="163" t="n"/>
      <c r="C53" s="85">
        <f>F33-F34</f>
        <v/>
      </c>
      <c r="D53" s="84" t="inlineStr">
        <is>
          <t>This sheet</t>
        </is>
      </c>
      <c r="E53" s="162" t="inlineStr">
        <is>
          <t>Total Revenue minus Total Expenses</t>
        </is>
      </c>
      <c r="F53" s="163" t="n"/>
      <c r="G53" s="163" t="n"/>
    </row>
    <row r="54" ht="7.5" customHeight="1">
      <c r="A54" s="129" t="n"/>
      <c r="B54" s="163" t="n"/>
      <c r="C54" s="163" t="n"/>
      <c r="D54" s="163" t="n"/>
      <c r="E54" s="163" t="n"/>
      <c r="F54" s="163" t="n"/>
      <c r="G54" s="163" t="n"/>
    </row>
    <row r="55" ht="15.75" customHeight="1">
      <c r="A55" s="96" t="inlineStr">
        <is>
          <t>📌  LEGEND:  🟢 Green text = Cross-sheet formula link  |  🔵 Blue text = Manual input field  |  ⚫ Black text = Auto-calculated  |  Green rows = Revenue  |  Red rows = Expenses  |  Blue rows = Summary/Net</t>
        </is>
      </c>
      <c r="B55" s="163" t="n"/>
      <c r="C55" s="163" t="n"/>
      <c r="D55" s="163" t="n"/>
      <c r="E55" s="163" t="n"/>
      <c r="F55" s="163" t="n"/>
      <c r="G55" s="163" t="n"/>
    </row>
  </sheetData>
  <mergeCells count="67">
    <mergeCell ref="A48:B48"/>
    <mergeCell ref="C34:D34"/>
    <mergeCell ref="C33:D33"/>
    <mergeCell ref="A51:B51"/>
    <mergeCell ref="A49:B49"/>
    <mergeCell ref="A22:G22"/>
    <mergeCell ref="A4:G4"/>
    <mergeCell ref="E5:F5"/>
    <mergeCell ref="A38:G38"/>
    <mergeCell ref="A43:G43"/>
    <mergeCell ref="D42:G42"/>
    <mergeCell ref="C26:D26"/>
    <mergeCell ref="E8:F8"/>
    <mergeCell ref="C35:D35"/>
    <mergeCell ref="E46:G46"/>
    <mergeCell ref="C20:D20"/>
    <mergeCell ref="A44:G44"/>
    <mergeCell ref="A13:G13"/>
    <mergeCell ref="E49:G49"/>
    <mergeCell ref="A31:G31"/>
    <mergeCell ref="A41:B41"/>
    <mergeCell ref="C25:D25"/>
    <mergeCell ref="A39:G39"/>
    <mergeCell ref="B11:F11"/>
    <mergeCell ref="A46:B46"/>
    <mergeCell ref="A30:G30"/>
    <mergeCell ref="A23:G23"/>
    <mergeCell ref="A15:G15"/>
    <mergeCell ref="B14:F14"/>
    <mergeCell ref="E9:F9"/>
    <mergeCell ref="B8:C8"/>
    <mergeCell ref="A50:B50"/>
    <mergeCell ref="A21:E21"/>
    <mergeCell ref="D40:G40"/>
    <mergeCell ref="A36:G36"/>
    <mergeCell ref="E6:F6"/>
    <mergeCell ref="A1:G1"/>
    <mergeCell ref="E37:G37"/>
    <mergeCell ref="B10:F10"/>
    <mergeCell ref="E53:G53"/>
    <mergeCell ref="A47:B47"/>
    <mergeCell ref="E47:G47"/>
    <mergeCell ref="A42:B42"/>
    <mergeCell ref="C27:D27"/>
    <mergeCell ref="A54:G54"/>
    <mergeCell ref="E50:G50"/>
    <mergeCell ref="A16:G16"/>
    <mergeCell ref="A7:G7"/>
    <mergeCell ref="B9:C9"/>
    <mergeCell ref="A53:B53"/>
    <mergeCell ref="D41:G41"/>
    <mergeCell ref="A37:D37"/>
    <mergeCell ref="A29:E29"/>
    <mergeCell ref="B6:C6"/>
    <mergeCell ref="A52:B52"/>
    <mergeCell ref="E52:G52"/>
    <mergeCell ref="A3:G3"/>
    <mergeCell ref="B5:C5"/>
    <mergeCell ref="A55:G55"/>
    <mergeCell ref="C19:D19"/>
    <mergeCell ref="A12:G12"/>
    <mergeCell ref="E48:G48"/>
    <mergeCell ref="C28:D28"/>
    <mergeCell ref="A2:G2"/>
    <mergeCell ref="C18:D18"/>
    <mergeCell ref="E51:G51"/>
    <mergeCell ref="A40:B4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2026-03-25T14:24:53Z</dcterms:created>
  <dcterms:modified xsi:type="dcterms:W3CDTF">2026-03-31T13:45:05Z</dcterms:modified>
  <cp:lastModifiedBy>Jayden Leung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0x0101002FDD236160A867488463BEEEBBBC6816</vt:lpwstr>
  </property>
  <property name="MediaServiceImageTags" fmtid="{D5CDD505-2E9C-101B-9397-08002B2CF9AE}" pid="3">
    <vt:lpwstr/>
  </property>
</Properties>
</file>